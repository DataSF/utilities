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Administrator\Google Drive\@CDO\Projects\Publication Program\Guidance Documents\Submission Packet\utilities\"/>
    </mc:Choice>
  </mc:AlternateContent>
  <bookViews>
    <workbookView xWindow="0" yWindow="0" windowWidth="25605" windowHeight="16065" tabRatio="709"/>
  </bookViews>
  <sheets>
    <sheet name="1 - Instructions" sheetId="7" r:id="rId1"/>
    <sheet name="2 - Internal Review" sheetId="8" r:id="rId2"/>
    <sheet name="3 - Metadata" sheetId="2" r:id="rId3"/>
    <sheet name="4 - Field Documentation" sheetId="5" r:id="rId4"/>
    <sheet name="5 - Automation Questionnaire" sheetId="9" r:id="rId5"/>
    <sheet name="6 - QA Checklist" sheetId="10" state="hidden" r:id="rId6"/>
    <sheet name="Reference" sheetId="13" r:id="rId7"/>
    <sheet name="Version" sheetId="11" r:id="rId8"/>
    <sheet name="Validations" sheetId="3" state="hidden" r:id="rId9"/>
    <sheet name="ConfigDoc" sheetId="12" state="hidden" r:id="rId10"/>
  </sheets>
  <functionGroups builtInGroupCount="18"/>
  <definedNames>
    <definedName name="_xlnm._FilterDatabase" localSheetId="2" hidden="1">'3 - Metadata'!$C$13:$D$36</definedName>
    <definedName name="AutomationCount">COUNTIF('5 - Automation Questionnaire'!$E$8:$E$17,1)+'5 - Automation Questionnaire'!$E$18</definedName>
    <definedName name="AutomationEntry">COUNTA('5 - Automation Questionnaire'!$E$8:$E$17)+'5 - Automation Questionnaire'!$E$18</definedName>
    <definedName name="Category">Table1[Category]</definedName>
    <definedName name="DataProducts">Table12[Data Products]</definedName>
    <definedName name="DataTypes">Table10[Types]</definedName>
    <definedName name="Department">Table2[Department]</definedName>
    <definedName name="DictionaryCount">SUM('4 - Field Documentation'!$G$10:$G$65)</definedName>
    <definedName name="DictionaryEntry">IF('4 - Field Documentation'!$B$8=0,1,'4 - Field Documentation'!$B$8)</definedName>
    <definedName name="Files">Table11[Files]</definedName>
    <definedName name="FilesCount">COUNTIF('4 - Field Documentation'!#REF!,1) + COUNTIF('4 - Field Documentation'!#REF!,1)</definedName>
    <definedName name="FilesEntry">COUNTA('4 - Field Documentation'!#REF!,'4 - Field Documentation'!#REF!)</definedName>
    <definedName name="Format">Table8[Format]</definedName>
    <definedName name="FrequencyDataChange">Table3[Frequency data change]</definedName>
    <definedName name="FrequencyPublishing">Table4[Frequency publishing]</definedName>
    <definedName name="GeographicUnit">Table7[Geo Yes]</definedName>
    <definedName name="GeographyIncluded">Table6[Geography included]</definedName>
    <definedName name="InternalCount">COUNTIF('2 - Internal Review'!$C$7,2)+COUNTIF('2 - Internal Review'!$G$7,2)+COUNTIF('2 - Internal Review'!$G$11,2)+COUNTIF('2 - Internal Review'!$C$14,2)+COUNTIF('2 - Internal Review'!$G$14,2)</definedName>
    <definedName name="InternalEntry">COUNTA('2 - Internal Review'!$C$7,'2 - Internal Review'!$G$7,'2 - Internal Review'!$G$11,'2 - Internal Review'!$G$14,'2 - Internal Review'!$C$14)</definedName>
    <definedName name="InternalFields">'2 - Internal Review'!$C$7,'2 - Internal Review'!$G$7,'2 - Internal Review'!$G$11,'2 - Internal Review'!$G$14,'2 - Internal Review'!$C$14</definedName>
    <definedName name="MetadataCount">COUNTIF('3 - Metadata'!$D$13:$D$29,4)</definedName>
    <definedName name="MetadataEntry">COUNTIF('3 - Metadata'!$D$13:$D$29,3)+COUNTIF('3 - Metadata'!$D$13:$D$29,4)</definedName>
    <definedName name="No">Table9[Geo No]</definedName>
    <definedName name="PublicAccess">Table5[Public access level]</definedName>
    <definedName name="Yes">Table7[Geo Yes]</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B7" i="12" l="1"/>
  <c r="D11" i="7"/>
  <c r="E11" i="7" s="1"/>
  <c r="E10" i="7"/>
  <c r="B8" i="12" l="1"/>
  <c r="E9" i="7"/>
  <c r="B8" i="5" l="1"/>
  <c r="C8" i="5" s="1"/>
  <c r="G52" i="5"/>
  <c r="G51" i="5"/>
  <c r="G50" i="5"/>
  <c r="G49" i="5"/>
  <c r="G48" i="5"/>
  <c r="G47" i="5"/>
  <c r="G46" i="5"/>
  <c r="G45" i="5"/>
  <c r="G44" i="5"/>
  <c r="G43" i="5"/>
  <c r="G42" i="5"/>
  <c r="G41" i="5"/>
  <c r="G40" i="5"/>
  <c r="G39" i="5"/>
  <c r="G38" i="5"/>
  <c r="G37" i="5"/>
  <c r="G36" i="5"/>
  <c r="G35" i="5"/>
  <c r="G34" i="5"/>
  <c r="G33" i="5"/>
  <c r="G32" i="5"/>
  <c r="G31" i="5"/>
  <c r="G30" i="5"/>
  <c r="G29" i="5"/>
  <c r="G28" i="5"/>
  <c r="G27" i="5"/>
  <c r="G26" i="5"/>
  <c r="G19" i="5"/>
  <c r="G20" i="5"/>
  <c r="G21" i="5"/>
  <c r="G22" i="5"/>
  <c r="G23" i="5"/>
  <c r="G24" i="5"/>
  <c r="G25" i="5"/>
  <c r="G11" i="5"/>
  <c r="G12" i="5"/>
  <c r="G13" i="5"/>
  <c r="G14" i="5"/>
  <c r="G15" i="5"/>
  <c r="G16" i="5"/>
  <c r="G17" i="5"/>
  <c r="G18" i="5"/>
  <c r="G10" i="5"/>
  <c r="B27" i="12" l="1"/>
  <c r="B23" i="12"/>
  <c r="B22" i="12"/>
  <c r="B21" i="12"/>
  <c r="B20" i="12"/>
  <c r="B19" i="12"/>
  <c r="B18" i="12"/>
  <c r="B17" i="12"/>
  <c r="B16" i="12"/>
  <c r="B12" i="12"/>
  <c r="B11" i="12"/>
  <c r="B6" i="12"/>
  <c r="E24" i="7"/>
  <c r="B13" i="12"/>
  <c r="B14" i="12" l="1"/>
  <c r="B5" i="12"/>
  <c r="B2" i="12"/>
  <c r="B1" i="12"/>
  <c r="B3" i="12"/>
  <c r="B4" i="12" s="1"/>
  <c r="D18" i="2" l="1"/>
  <c r="D26" i="2"/>
  <c r="E22" i="2"/>
  <c r="D22" i="2" s="1"/>
  <c r="E23" i="2"/>
  <c r="D23" i="2" s="1"/>
  <c r="D7" i="9"/>
  <c r="B7" i="9" s="1"/>
  <c r="D15" i="7"/>
  <c r="B10" i="12" s="1"/>
  <c r="D14" i="7"/>
  <c r="B9" i="12" s="1"/>
  <c r="D29" i="2"/>
  <c r="D28" i="2"/>
  <c r="D27" i="2"/>
  <c r="D25" i="2"/>
  <c r="D20" i="2"/>
  <c r="D17" i="2"/>
  <c r="D16" i="2"/>
  <c r="D15" i="2"/>
  <c r="G14" i="8"/>
  <c r="C14" i="8"/>
  <c r="G11" i="8"/>
  <c r="G7" i="8"/>
  <c r="C7" i="8"/>
  <c r="E12" i="7"/>
  <c r="E8" i="7"/>
  <c r="E7" i="7"/>
  <c r="E6" i="7"/>
  <c r="E5" i="7"/>
  <c r="B25" i="12" l="1"/>
  <c r="B26" i="12"/>
  <c r="F24" i="7"/>
  <c r="E15" i="9"/>
  <c r="E13" i="9"/>
  <c r="E11" i="9"/>
  <c r="E17" i="9"/>
  <c r="E10" i="9"/>
  <c r="E9" i="9"/>
  <c r="E18" i="9" s="1"/>
  <c r="E12" i="9"/>
  <c r="E16" i="9"/>
  <c r="E8" i="9"/>
  <c r="B3" i="8"/>
  <c r="B4" i="8"/>
  <c r="E22" i="7"/>
  <c r="F22" i="7" s="1"/>
  <c r="B4" i="5"/>
  <c r="B3" i="5"/>
  <c r="E23" i="7"/>
  <c r="F23" i="7" s="1"/>
  <c r="B4" i="2"/>
  <c r="B3" i="2"/>
  <c r="B28" i="12" l="1"/>
  <c r="B19" i="7"/>
  <c r="E25" i="7"/>
  <c r="B4" i="9"/>
  <c r="B3" i="9"/>
  <c r="F25" i="7" l="1"/>
  <c r="C5" i="9"/>
</calcChain>
</file>

<file path=xl/sharedStrings.xml><?xml version="1.0" encoding="utf-8"?>
<sst xmlns="http://schemas.openxmlformats.org/spreadsheetml/2006/main" count="506" uniqueCount="448">
  <si>
    <t>Field</t>
  </si>
  <si>
    <t>Title</t>
  </si>
  <si>
    <t>Basic Descriptive</t>
  </si>
  <si>
    <t>Required</t>
  </si>
  <si>
    <t>Yes</t>
  </si>
  <si>
    <t>Description</t>
  </si>
  <si>
    <t>Detailed Descriptive</t>
  </si>
  <si>
    <t>Other</t>
  </si>
  <si>
    <t>Publishing Details</t>
  </si>
  <si>
    <t>TBD</t>
  </si>
  <si>
    <t>Optional</t>
  </si>
  <si>
    <t>Title</t>
  </si>
  <si>
    <t>Description</t>
  </si>
  <si>
    <t>Category</t>
  </si>
  <si>
    <t>Department</t>
  </si>
  <si>
    <t>Frequency - data change</t>
  </si>
  <si>
    <t>Data Steward name</t>
  </si>
  <si>
    <t>Data Steward email</t>
  </si>
  <si>
    <t>Geographic unit</t>
  </si>
  <si>
    <t>Tags</t>
  </si>
  <si>
    <t>Program Link</t>
  </si>
  <si>
    <t>Data notes</t>
  </si>
  <si>
    <t>Category</t>
  </si>
  <si>
    <t>Department</t>
  </si>
  <si>
    <t>Public access level</t>
  </si>
  <si>
    <t>License/Rights</t>
  </si>
  <si>
    <t>Format</t>
  </si>
  <si>
    <t>City Infrastructure</t>
  </si>
  <si>
    <t>Protected</t>
  </si>
  <si>
    <t>??</t>
  </si>
  <si>
    <t>Latitude/longitude</t>
  </si>
  <si>
    <t>City Management and Ethics</t>
  </si>
  <si>
    <t>Academy of Sciences</t>
  </si>
  <si>
    <t>Sensitive</t>
  </si>
  <si>
    <t>Street address</t>
  </si>
  <si>
    <t>Culture and Recreation</t>
  </si>
  <si>
    <t>Adult Probation</t>
  </si>
  <si>
    <t>Public</t>
  </si>
  <si>
    <t>Intersection or street segment</t>
  </si>
  <si>
    <t>Economy and Community</t>
  </si>
  <si>
    <t>Airport</t>
  </si>
  <si>
    <t>Bi-annually</t>
  </si>
  <si>
    <t>Parcel (block/lot)</t>
  </si>
  <si>
    <t>Energy and Environment</t>
  </si>
  <si>
    <t>Arts Commission</t>
  </si>
  <si>
    <t>Census block</t>
  </si>
  <si>
    <t>Geographic Locations and Boundaries</t>
  </si>
  <si>
    <t>Asian Art Museum</t>
  </si>
  <si>
    <t>Census block group</t>
  </si>
  <si>
    <t>Health and Social Services</t>
  </si>
  <si>
    <t>Assessor-Recorder</t>
  </si>
  <si>
    <t>Census tract</t>
  </si>
  <si>
    <t>Housing and Buildings</t>
  </si>
  <si>
    <t>Board of Appeals</t>
  </si>
  <si>
    <t>Zoning district</t>
  </si>
  <si>
    <t>Public Safety</t>
  </si>
  <si>
    <t>Board of Supervisors</t>
  </si>
  <si>
    <t>Neighborhood</t>
  </si>
  <si>
    <t>Transportation</t>
  </si>
  <si>
    <t>Building Inspection</t>
  </si>
  <si>
    <t>Planning District</t>
  </si>
  <si>
    <t>Child Support Services</t>
  </si>
  <si>
    <t>Supervisorial District</t>
  </si>
  <si>
    <t>Children and Families Commission</t>
  </si>
  <si>
    <t>Zip code</t>
  </si>
  <si>
    <t>Children, Youth &amp; Their Families</t>
  </si>
  <si>
    <t>Streaming</t>
  </si>
  <si>
    <t>City</t>
  </si>
  <si>
    <t>City Attorney</t>
  </si>
  <si>
    <t>Raster</t>
  </si>
  <si>
    <t>Civil Service Commission</t>
  </si>
  <si>
    <t>Other</t>
  </si>
  <si>
    <t>Community Investment and Infrastructure</t>
  </si>
  <si>
    <t>Not applicable</t>
  </si>
  <si>
    <t>Controller</t>
  </si>
  <si>
    <t>District Attorney</t>
  </si>
  <si>
    <t>Economic &amp; Workforce Development</t>
  </si>
  <si>
    <t>Elections</t>
  </si>
  <si>
    <t>Emergency Management</t>
  </si>
  <si>
    <t>Environment</t>
  </si>
  <si>
    <t>Ethics Commission</t>
  </si>
  <si>
    <t>Film Commission</t>
  </si>
  <si>
    <t>Fine Arts Museums</t>
  </si>
  <si>
    <t>Fire Department</t>
  </si>
  <si>
    <t>GSA – City Administrator’s Office</t>
  </si>
  <si>
    <t>GSA – Public Works</t>
  </si>
  <si>
    <t>GSA – Technology</t>
  </si>
  <si>
    <t>Health Service System</t>
  </si>
  <si>
    <t>Human Resources</t>
  </si>
  <si>
    <t>Human Rights Commission</t>
  </si>
  <si>
    <t>Human Services Agency</t>
  </si>
  <si>
    <t>Juvenile Probation</t>
  </si>
  <si>
    <t>MOHCD</t>
  </si>
  <si>
    <t>Municipal Transportation Agency</t>
  </si>
  <si>
    <t>Office of Citizen Complaints</t>
  </si>
  <si>
    <t>Office of Early Care and Education</t>
  </si>
  <si>
    <t>Office of Small Business</t>
  </si>
  <si>
    <t>Planning</t>
  </si>
  <si>
    <t>Police Department</t>
  </si>
  <si>
    <t>Port</t>
  </si>
  <si>
    <t>Public Defender</t>
  </si>
  <si>
    <t>Public Health</t>
  </si>
  <si>
    <t>Public Library</t>
  </si>
  <si>
    <t>Public Utilities Commission</t>
  </si>
  <si>
    <t>Recreation and Parks</t>
  </si>
  <si>
    <t>Rent Arbitration Board</t>
  </si>
  <si>
    <t>Retirement System</t>
  </si>
  <si>
    <t>Sheriff</t>
  </si>
  <si>
    <t>Status of Women</t>
  </si>
  <si>
    <t>Treasurer-Tax Collector</t>
  </si>
  <si>
    <t>War Memorial</t>
  </si>
  <si>
    <t>As needed</t>
  </si>
  <si>
    <t>Annually</t>
  </si>
  <si>
    <t>Quarterly</t>
  </si>
  <si>
    <t>Bi-monthly</t>
  </si>
  <si>
    <t>Monthly</t>
  </si>
  <si>
    <t>Bi-weekly</t>
  </si>
  <si>
    <t>Weekly</t>
  </si>
  <si>
    <t>Daily</t>
  </si>
  <si>
    <t>Hourly</t>
  </si>
  <si>
    <t>Multiple times per hour</t>
  </si>
  <si>
    <t>Not updated (historical only)</t>
  </si>
  <si>
    <t>Frequency data change</t>
  </si>
  <si>
    <t>Frequency publishing</t>
  </si>
  <si>
    <t>Answer</t>
  </si>
  <si>
    <t>Geographic data included</t>
  </si>
  <si>
    <t>No</t>
  </si>
  <si>
    <t>Geography included</t>
  </si>
  <si>
    <t>Geo No</t>
  </si>
  <si>
    <t>Geo Yes</t>
  </si>
  <si>
    <t>2 - Internal Review</t>
  </si>
  <si>
    <t>Prepare your dataset for internal review. Follow the instructions in the Internal Review tab</t>
  </si>
  <si>
    <t>Step</t>
  </si>
  <si>
    <t>Instruction</t>
  </si>
  <si>
    <t>3 - Metadata</t>
  </si>
  <si>
    <t>Worksheet (tab)</t>
  </si>
  <si>
    <t>5 - Automation Questionnaire</t>
  </si>
  <si>
    <t>Complete the automation questionnaire. These handful of questions help the open data team assess whether automation services will be required for the dataset.</t>
  </si>
  <si>
    <t>What's your name?</t>
  </si>
  <si>
    <t>Are you the steward of this data?</t>
  </si>
  <si>
    <t>What department are you in?</t>
  </si>
  <si>
    <t>Submit this workbook to your data coordinator, who will perform some quick quality checks and send it on to the open data team.</t>
  </si>
  <si>
    <t>What's your email?</t>
  </si>
  <si>
    <t>Data Submission Packet</t>
  </si>
  <si>
    <r>
      <rPr>
        <sz val="22"/>
        <color theme="4" tint="0.39997558519241921"/>
        <rFont val="Arial Black"/>
        <family val="2"/>
      </rPr>
      <t>Data</t>
    </r>
    <r>
      <rPr>
        <sz val="22"/>
        <color theme="2" tint="-0.249977111117893"/>
        <rFont val="Arial Black"/>
        <family val="2"/>
      </rPr>
      <t>SF</t>
    </r>
  </si>
  <si>
    <t>Metadata</t>
  </si>
  <si>
    <t>Required conditional on another field</t>
  </si>
  <si>
    <t>Complete</t>
  </si>
  <si>
    <t>Internal Management - private fields</t>
  </si>
  <si>
    <t>Return to Instructions</t>
  </si>
  <si>
    <t>Internal Review</t>
  </si>
  <si>
    <t>Dataset name</t>
  </si>
  <si>
    <t>Reviewers</t>
  </si>
  <si>
    <t>Reviewer Name</t>
  </si>
  <si>
    <t>Reviewer Email</t>
  </si>
  <si>
    <t>Column names</t>
  </si>
  <si>
    <t>Reviewer 1</t>
  </si>
  <si>
    <t>Reviewer 2</t>
  </si>
  <si>
    <t>Reviewer 3</t>
  </si>
  <si>
    <t>Reviewer 4</t>
  </si>
  <si>
    <t>Reviewer Title</t>
  </si>
  <si>
    <t>Dataset description</t>
  </si>
  <si>
    <t>Concerns about publishing this data?</t>
  </si>
  <si>
    <t>After receiving internal approval, complete the metadata worksheet</t>
  </si>
  <si>
    <t xml:space="preserve"> </t>
  </si>
  <si>
    <t>Data Coordinator</t>
  </si>
  <si>
    <t>DC Email</t>
  </si>
  <si>
    <t>Stacy T. Robson</t>
  </si>
  <si>
    <t>Leah Rothstein</t>
  </si>
  <si>
    <t>Zihong Gorman</t>
  </si>
  <si>
    <t>Anne Trickey</t>
  </si>
  <si>
    <t>Joanne T. Chou</t>
  </si>
  <si>
    <t>Eddie McCaffrey</t>
  </si>
  <si>
    <t>Cynthia Goldstein</t>
  </si>
  <si>
    <t>Wilson Ng</t>
  </si>
  <si>
    <t>Hema Nekkanti</t>
  </si>
  <si>
    <t>Penni Eigster</t>
  </si>
  <si>
    <t>Therea Zighera</t>
  </si>
  <si>
    <t>Sarah Duffy</t>
  </si>
  <si>
    <t>Matt Dorsey</t>
  </si>
  <si>
    <t>Sandra Eng</t>
  </si>
  <si>
    <t>Ferry Lo</t>
  </si>
  <si>
    <t>Jeff Pera</t>
  </si>
  <si>
    <t>Maria McKee</t>
  </si>
  <si>
    <t>Marianne Thompson</t>
  </si>
  <si>
    <t>Valeri Shilov</t>
  </si>
  <si>
    <t>Mitch Sutton</t>
  </si>
  <si>
    <t>Guillermo Rodriquez</t>
  </si>
  <si>
    <t>Steven Massey</t>
  </si>
  <si>
    <t>Maggie Weiland</t>
  </si>
  <si>
    <t>Michele Gutierrez-Canepa</t>
  </si>
  <si>
    <t>Jesus Mora</t>
  </si>
  <si>
    <t>Adam Nguyen</t>
  </si>
  <si>
    <t>Eddy Ching</t>
  </si>
  <si>
    <t>David German</t>
  </si>
  <si>
    <t>Marina Coleridge</t>
  </si>
  <si>
    <t>Brent Lewis</t>
  </si>
  <si>
    <t>Mullane Ahern</t>
  </si>
  <si>
    <t>John Murray</t>
  </si>
  <si>
    <t>Jose Luis Perla</t>
  </si>
  <si>
    <t>Gloria Woo</t>
  </si>
  <si>
    <t>Cheong-Tseng Eng</t>
  </si>
  <si>
    <t>Chris Wisniewsky</t>
  </si>
  <si>
    <t>Elise Crane</t>
  </si>
  <si>
    <t>Keith DeMartini</t>
  </si>
  <si>
    <t>Joshua Raphael</t>
  </si>
  <si>
    <t>Tyler Vu</t>
  </si>
  <si>
    <t>Maria X Martinez</t>
  </si>
  <si>
    <t>Michael Lambert</t>
  </si>
  <si>
    <t>Ken Salmon</t>
  </si>
  <si>
    <t>Eric Pawlowsky</t>
  </si>
  <si>
    <t>Robert Collins</t>
  </si>
  <si>
    <t>Craig Lee</t>
  </si>
  <si>
    <t>David Hardy (LT)</t>
  </si>
  <si>
    <t>Stephanie Nguyen</t>
  </si>
  <si>
    <t>Darrell Ascano</t>
  </si>
  <si>
    <t>Colleen Burke-Hill</t>
  </si>
  <si>
    <t>SRobson@calacademy.org</t>
  </si>
  <si>
    <t>leah.rothstein@sfgov.org</t>
  </si>
  <si>
    <t>Zihong.Gorman@flysfo.com</t>
  </si>
  <si>
    <t>anne.trickey@sfgov.org</t>
  </si>
  <si>
    <t>JChou@asianart.org</t>
  </si>
  <si>
    <t>edward.mccaffrey@sfgov.org</t>
  </si>
  <si>
    <t>cynthia.goldstein@sfgov.org</t>
  </si>
  <si>
    <t>wilson.l.ng@sfgov.org</t>
  </si>
  <si>
    <t>Hemalatha.Nekkanti@sfgov.org</t>
  </si>
  <si>
    <t>penni.eigster@sfgov.org</t>
  </si>
  <si>
    <t>Theresa.Zighera@first5sf.org</t>
  </si>
  <si>
    <t>sarah.duffy@dcyf.org</t>
  </si>
  <si>
    <t>matt.dorsey@sfgov.org</t>
  </si>
  <si>
    <t>sandra.eng@sfgov.org</t>
  </si>
  <si>
    <t>Ferry.Lo@sfgov.org</t>
  </si>
  <si>
    <t>jeff.pera@sfgov.org</t>
  </si>
  <si>
    <t>marianne.thompson@sfgov.org</t>
  </si>
  <si>
    <t>valeri.shilov@sfgov.org</t>
  </si>
  <si>
    <t>mitch.sutton@sfgov.org</t>
  </si>
  <si>
    <t>guillermo.rodriguez@sfgov.org</t>
  </si>
  <si>
    <t>steven.massey@sfgov.org</t>
  </si>
  <si>
    <t>maggie.weiland@sfgov.org</t>
  </si>
  <si>
    <t>mgutierrez@famsf.org</t>
  </si>
  <si>
    <t>Jesus.mora@sfgov.org</t>
  </si>
  <si>
    <t>adam.nguyen@sfgov.org</t>
  </si>
  <si>
    <t>Eddy.Ching@sfdpw.org</t>
  </si>
  <si>
    <t>david.german@sfgov.org</t>
  </si>
  <si>
    <t>marina.coleridge@sfgov.org</t>
  </si>
  <si>
    <t>brent.lewis@sfgov.org</t>
  </si>
  <si>
    <t>mullane.ahern@sfgov.org</t>
  </si>
  <si>
    <t>john.murray@sfgov.org</t>
  </si>
  <si>
    <t>jose.perla@sfgov.org</t>
  </si>
  <si>
    <t>gloria.woo@sfgov.org</t>
  </si>
  <si>
    <t>cheong-tseng.eng@sfmta.com</t>
  </si>
  <si>
    <t>chris.wisniewski@sfgov.org</t>
  </si>
  <si>
    <t>elise.crane@sfgov.org</t>
  </si>
  <si>
    <t>keith.demartini@sfgov.org</t>
  </si>
  <si>
    <t>joshua.raphael@sfgov.org​</t>
  </si>
  <si>
    <t>tyler.vu@sfgov.org</t>
  </si>
  <si>
    <t>maria.x.martinez@sfdph.org</t>
  </si>
  <si>
    <t>Michael.Lambert@sfpl.org</t>
  </si>
  <si>
    <t>KSalmon@sfwater.org</t>
  </si>
  <si>
    <t>eric.pawlowsky@sfgov.org</t>
  </si>
  <si>
    <t>robert.collins@sfgov.org</t>
  </si>
  <si>
    <t>craig.lee@sfgov.org</t>
  </si>
  <si>
    <t>david.hardy@sfgov.org</t>
  </si>
  <si>
    <t>stephanie.nguyen@sfgov.org</t>
  </si>
  <si>
    <t>darrell.ascano@sfgov.org</t>
  </si>
  <si>
    <t>Colleen.burke-hill@sfgov.org</t>
  </si>
  <si>
    <t>N/A</t>
  </si>
  <si>
    <t>Before preparing your data for submission, you must obtain internal approval. This helps ensure compliance with security, privacy and confidentiality laws as well as regulations related to Sunshine or other local rules. In certain cases the internal review may be straightforward, as in the case of already published data. In other cases, you may need to involve legal counsel. In all cases, please follow your own department's review process. The form below is simply to help you organize information for review.</t>
  </si>
  <si>
    <t xml:space="preserve">If your dataset has private or sensitive data, there are several ways to mitigate the risk. There are several methods for publishing data in a way that does not compromise the privacy of individuals or other concerns.
During the process of publication, we will work with you on implementing the appropriate method. So at this stage, please simply indicate whether you have a privacy or security related concern about this dataset.
</t>
  </si>
  <si>
    <t>Current Version</t>
  </si>
  <si>
    <t>ver .1</t>
  </si>
  <si>
    <t>Files</t>
  </si>
  <si>
    <t>Hello :-)</t>
  </si>
  <si>
    <t>Your data coordinator is</t>
  </si>
  <si>
    <t>His or her email address is</t>
  </si>
  <si>
    <r>
      <t xml:space="preserve">Now it's time to dig in. </t>
    </r>
    <r>
      <rPr>
        <sz val="10"/>
        <rFont val="Arial"/>
        <family val="2"/>
      </rPr>
      <t>The following checklist contains all the steps you need to complete before final submission. Most of the steps correspond to the tabs at the bottom. They are linked for simpler navigation. Your progress is tracked automatically, so as you complete a step, it will cross off the step for you.</t>
    </r>
  </si>
  <si>
    <t>In progress</t>
  </si>
  <si>
    <t>Is the data source on-premise?</t>
  </si>
  <si>
    <t>Is there a plan to migrate to a new data system in the short- or medium-term?</t>
  </si>
  <si>
    <t>Are there privacy-related concerns that need to be considered?</t>
  </si>
  <si>
    <t>Technical Contact</t>
  </si>
  <si>
    <t>Name</t>
  </si>
  <si>
    <t>Email</t>
  </si>
  <si>
    <t>Automation Questionnaire</t>
  </si>
  <si>
    <t>Changelog</t>
  </si>
  <si>
    <t>Release Date</t>
  </si>
  <si>
    <t>Data Products</t>
  </si>
  <si>
    <t>MS Access</t>
  </si>
  <si>
    <t>MS Excel</t>
  </si>
  <si>
    <t>Filemaker Pro</t>
  </si>
  <si>
    <t>MS SQL Server</t>
  </si>
  <si>
    <t>Oracle Database</t>
  </si>
  <si>
    <t>MySQL</t>
  </si>
  <si>
    <t>PostgresSQL</t>
  </si>
  <si>
    <t>Beta release containing
- 5 tabs including instructions
- Data validations
- Macros that detect files in file folder, open up related documents
- Draft deeper documentation
- QA checklist in progress</t>
  </si>
  <si>
    <t>If Other:</t>
  </si>
  <si>
    <t>This set of questions helps the open data team assess whether this dataset is appropriate and ready for automation. If this dataset is a good candidate, someone will followup to schedule a quick meeting to do a deeper assessment.</t>
  </si>
  <si>
    <t>ver .2</t>
  </si>
  <si>
    <t>ver .5</t>
  </si>
  <si>
    <t>&lt;&lt; prev</t>
  </si>
  <si>
    <t>next &gt;&gt;</t>
  </si>
  <si>
    <t>Metadata or data about data helps make our datasets much easier to find. For developers, analysts and novice users alike, metadata allows users to "peek" inside the data before even using it. This can inform for example, whether a user has the right tools to manipulate data and can lower the amount of frustration for people new to the data.
Each of the fields are logically grouped below. All required fields are indicated with the red dot and as you complete the form, you'll change those dots green. Place your answers in the Answer column and pay attention to the popups as you go through the entries. To get you started, we already copied over some data from the instructions tab.</t>
  </si>
  <si>
    <r>
      <rPr>
        <b/>
        <sz val="10"/>
        <rFont val="Arial"/>
        <family val="2"/>
      </rPr>
      <t>How are you?</t>
    </r>
    <r>
      <rPr>
        <sz val="10"/>
        <rFont val="Arial"/>
        <family val="2"/>
      </rPr>
      <t xml:space="preserve"> So you'd like to publish some data on the City's Open Data Portal? Welcome to the DataSF Dataset submission packet. It may look daunting, but we've tried to make it as simple as possible. 
Why all the questions right now? Well, this helps all of the downstream processes happen quickly and efficiently. Also, this gives us documentation that will help future people sitting in your seat know what's happened and when. Believe us that future you will thank you for taking the time at this point. We do the hard work now to make things simpler.
</t>
    </r>
    <r>
      <rPr>
        <b/>
        <sz val="10"/>
        <rFont val="Arial"/>
        <family val="2"/>
      </rPr>
      <t>Let's start with some basic questions.</t>
    </r>
  </si>
  <si>
    <t>Updated release with
- Fixed bug with file selector fields
- Added previous and next links at top of worksheet and clearer indicator of completion within the worksheet
- Added "I don't know options" to certain fields
- Fix data dictionary count bug</t>
  </si>
  <si>
    <t>Get Started &gt;&gt;</t>
  </si>
  <si>
    <t>Is data currently being extracted from the data system this dataset comes from and put somewhere else in an automated fasion?</t>
  </si>
  <si>
    <t>What data system product does this dataset come from?</t>
  </si>
  <si>
    <t>http://www.datasf.org/coordinators</t>
  </si>
  <si>
    <t>Updates:
- Fix prev, next bug on data dictionary worksheet
- Change buttons from ActiveX controls to form controls
- Add submission button to automate the creation of an email</t>
  </si>
  <si>
    <t>Overall Progress</t>
  </si>
  <si>
    <t>Department Code</t>
  </si>
  <si>
    <t>SCI</t>
  </si>
  <si>
    <t>ADP</t>
  </si>
  <si>
    <t>AIR</t>
  </si>
  <si>
    <t>ART</t>
  </si>
  <si>
    <t>AAM</t>
  </si>
  <si>
    <t>ASR</t>
  </si>
  <si>
    <t>BOA</t>
  </si>
  <si>
    <t>BOS</t>
  </si>
  <si>
    <t>DBI</t>
  </si>
  <si>
    <t>CSS</t>
  </si>
  <si>
    <t>CFC</t>
  </si>
  <si>
    <t>CHF</t>
  </si>
  <si>
    <t>CAT</t>
  </si>
  <si>
    <t>CSC</t>
  </si>
  <si>
    <t>CII</t>
  </si>
  <si>
    <t>CON</t>
  </si>
  <si>
    <t>DAT</t>
  </si>
  <si>
    <t>ECN</t>
  </si>
  <si>
    <t>REG</t>
  </si>
  <si>
    <t>DEM</t>
  </si>
  <si>
    <t>ENV</t>
  </si>
  <si>
    <t>ETH</t>
  </si>
  <si>
    <t>FLM</t>
  </si>
  <si>
    <t>FAM</t>
  </si>
  <si>
    <t>FIR</t>
  </si>
  <si>
    <t>ADM</t>
  </si>
  <si>
    <t>DPW</t>
  </si>
  <si>
    <t>TIS</t>
  </si>
  <si>
    <t>HSS</t>
  </si>
  <si>
    <t>HRD</t>
  </si>
  <si>
    <t>HRC</t>
  </si>
  <si>
    <t>HSA</t>
  </si>
  <si>
    <t>JUV</t>
  </si>
  <si>
    <t>MTA</t>
  </si>
  <si>
    <t>OCC</t>
  </si>
  <si>
    <t>ECE</t>
  </si>
  <si>
    <t>OSB</t>
  </si>
  <si>
    <t>CPC</t>
  </si>
  <si>
    <t>POL</t>
  </si>
  <si>
    <t>PRT</t>
  </si>
  <si>
    <t>PDR</t>
  </si>
  <si>
    <t>DPH</t>
  </si>
  <si>
    <t>LIB</t>
  </si>
  <si>
    <t>PUC</t>
  </si>
  <si>
    <t>REC</t>
  </si>
  <si>
    <t>RNT</t>
  </si>
  <si>
    <t>RET</t>
  </si>
  <si>
    <t>SHF</t>
  </si>
  <si>
    <t>WOM</t>
  </si>
  <si>
    <t>TTX</t>
  </si>
  <si>
    <t>WAR</t>
  </si>
  <si>
    <t>DepartmentCode</t>
  </si>
  <si>
    <t>SubmitterName</t>
  </si>
  <si>
    <t>SubmitterEmail</t>
  </si>
  <si>
    <t>DatasetTitle</t>
  </si>
  <si>
    <t>ver .6</t>
  </si>
  <si>
    <t>Updates:
- Add file naming convention to submission routine
- Add 3 digit codes to validations and lookups
- Add ConfigDoc sheet to begin standardizing automation routines</t>
  </si>
  <si>
    <t>Oracle</t>
  </si>
  <si>
    <t>IBM DB2</t>
  </si>
  <si>
    <t>Shapefile</t>
  </si>
  <si>
    <t>File Geodatabase</t>
  </si>
  <si>
    <t>Example_DataDictionary_Controller.xlsx</t>
  </si>
  <si>
    <t>Example_DataDictionary_SFPark.pdf</t>
  </si>
  <si>
    <r>
      <t xml:space="preserve">Please include a list of department contacts that reviewed the proposed publication. Also, </t>
    </r>
    <r>
      <rPr>
        <b/>
        <sz val="10"/>
        <rFont val="Arial"/>
        <family val="2"/>
      </rPr>
      <t>you do not have to include as many people as there are spaces below</t>
    </r>
    <r>
      <rPr>
        <sz val="10"/>
        <rFont val="Arial"/>
        <family val="2"/>
      </rPr>
      <t>. Please consult with your data coordinator if you have any questions regarding who should be included in the review.</t>
    </r>
  </si>
  <si>
    <t>Jason Lally</t>
  </si>
  <si>
    <t>List the column names or headers of the datset you'd like to publish. This will be useful later for publishing purposes as well as for your own internal review now. In many cases, this may be straightforward, especially if the data has already been published in a spreadsheet. If this will be the first time the data has been published, you may need to start by defining the ideal set of fields to publish and then the open data team will help think about implementation. If necessary, consult with the person or team that maintain your data system, and see if they can get you a universal list of fields available from the system. This list of fields could change over the course of various reviews, so think of this as a first draft.</t>
  </si>
  <si>
    <t>Field Documentation</t>
  </si>
  <si>
    <t>In order to make it easier for data users to understand published data, we need good documentation of each field. This is the first draft toward a well documented dataset, one that will eventually live on the open data portal. You may already have documentation for your dataset. At this stage, we're keeping it simple. Just the name of the column, a dropdown indicating the field type and a description of what that field is. Optionally, there's a notes field, if you'd like to call out anything for the data team to pay attention to. For example, maybe there are data quality concerns on a particular field, or you'd like to call out privacy/confidentiality concerns that can be dealt with in an automated fashion (e.g. obfuscating an address to a higher level geography). 
This will be a living document through the course of the publishing process and the final public friendly version will have been vetted and approved by you and your department before publishing. Please use as many or few rows as you need below. If you listed your columns in Step 2, you can start by copying and pasting those below.</t>
  </si>
  <si>
    <t>Notes (optional)</t>
  </si>
  <si>
    <t>Number of Fields to Document</t>
  </si>
  <si>
    <t>ver 1.0</t>
  </si>
  <si>
    <t>Updates:
- After internal review and testing, greatly simplified and streamlined the packet for our first version release
- Replaced data dictionary and related files with field documentation step
- Removed external files so now everything happens in the Excel workbook
- Removed certain macros related to files
- Finished ConfigDoc spreadsheet to support automation and workflow management</t>
  </si>
  <si>
    <t>PublisherTraining</t>
  </si>
  <si>
    <t>DataCoordinator</t>
  </si>
  <si>
    <t>DataCoordinatorEmail</t>
  </si>
  <si>
    <t>PrivacyRelatedConcerns</t>
  </si>
  <si>
    <t>DataChangeFrequency</t>
  </si>
  <si>
    <t>GeographicData</t>
  </si>
  <si>
    <t>NumberOfFields</t>
  </si>
  <si>
    <t>IsDataExtracted</t>
  </si>
  <si>
    <t>DataSystem</t>
  </si>
  <si>
    <t>DataSystemIfOther</t>
  </si>
  <si>
    <t>DataSourceOnPremise</t>
  </si>
  <si>
    <t>PlanToMigrate</t>
  </si>
  <si>
    <t>TechnicalContact</t>
  </si>
  <si>
    <t>TechnicalContactTitle</t>
  </si>
  <si>
    <t>TechnicalContactEmail</t>
  </si>
  <si>
    <t>MYR</t>
  </si>
  <si>
    <t>Mayor</t>
  </si>
  <si>
    <t>jason.lally@sfgov.org</t>
  </si>
  <si>
    <t>maria.mckee@sfgov.org</t>
  </si>
  <si>
    <t>4 - Field Documentation</t>
  </si>
  <si>
    <t>InternalReviewComplete</t>
  </si>
  <si>
    <t>MetadataComplete</t>
  </si>
  <si>
    <t>FieldDocumentationComplete</t>
  </si>
  <si>
    <t>AutomationQuestionnaireComplete</t>
  </si>
  <si>
    <t>Automation Fields</t>
  </si>
  <si>
    <t>Completeness</t>
  </si>
  <si>
    <t>Make sure your description addresses the following points where appropriate.
- Who collects the data or who is the source of the data
- How is the data collected
- Why is this data collected and what is it used for
- What are the programs or polices that this data supports</t>
  </si>
  <si>
    <t>Data on businesses, community and economic development</t>
  </si>
  <si>
    <t>Data on finance, budgets, taxes, employees, elections, campaigns, ethics reporting, etc</t>
  </si>
  <si>
    <t>Data about public transit, biking, driving, parking, and flying</t>
  </si>
  <si>
    <t>Data on crime, fire, accidents, and enforcement</t>
  </si>
  <si>
    <t>Data about health, public health, and services provided to individuals, children and families</t>
  </si>
  <si>
    <t>Geographic data on city locations and boundaries; Available as shapefiles, jsons, kml</t>
  </si>
  <si>
    <t>Data on sustainability, energy and resource use, and environmental conditions</t>
  </si>
  <si>
    <t>Data on permitting, construction, housing units, building inspections, rent control, etc</t>
  </si>
  <si>
    <t>Data on maintenance and management of public buildings and facilities, spaces, streets and right of way</t>
  </si>
  <si>
    <t>Data on arts, museums, public spaces and events</t>
  </si>
  <si>
    <t>Category Reference</t>
  </si>
  <si>
    <t>Below is a quick cheat sheet on what each category generally covers. The category is one of the required elements in the metadata</t>
  </si>
  <si>
    <t>Return to metadata</t>
  </si>
  <si>
    <t>Click here for category descriptions</t>
  </si>
  <si>
    <t>Click for additional online guidance on completing the metadata</t>
  </si>
  <si>
    <t>Types</t>
  </si>
  <si>
    <t>Date &amp; Time</t>
  </si>
  <si>
    <t>Coordinates</t>
  </si>
  <si>
    <t>Field Name</t>
  </si>
  <si>
    <t>Data Type</t>
  </si>
  <si>
    <t>Numeric</t>
  </si>
  <si>
    <t>Text</t>
  </si>
  <si>
    <t>Boolean (True/False)</t>
  </si>
  <si>
    <t>Are you familiar with the Open Data Publisher tools?</t>
  </si>
  <si>
    <t>Do you have an account on SF OpenData?</t>
  </si>
  <si>
    <t>Mike Choi</t>
  </si>
  <si>
    <t>mike.choi@sfgov.org</t>
  </si>
  <si>
    <t>Lookup inventory ID</t>
  </si>
  <si>
    <t>What is this dataset's inventory ID?</t>
  </si>
  <si>
    <t>Is this dataset in your department's inventory?</t>
  </si>
  <si>
    <t>Lookup dataset in inventory</t>
  </si>
  <si>
    <t>DatasetInventoried</t>
  </si>
  <si>
    <t>InventoryID</t>
  </si>
  <si>
    <t>tiarra.earls@sfport.com</t>
  </si>
  <si>
    <t>Tiarra Earls</t>
  </si>
  <si>
    <t>ver 1.1</t>
  </si>
  <si>
    <t>Updates:
- Added several questions related to inventory at beginning of form
- Changed data coordinators for some departments
- Added question to automation questions</t>
  </si>
  <si>
    <t>Document the fields in your dataset.</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</si>
</sst>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0"/>
      <name val="Arial"/>
    </font>
    <font>
      <b/>
      <sz val="10"/>
      <name val="Arial"/>
      <family val="2"/>
    </font>
    <font>
      <sz val="10"/>
      <name val="Arial"/>
      <family val="2"/>
    </font>
    <font>
      <b/>
      <sz val="10"/>
      <name val="Arial"/>
      <family val="2"/>
    </font>
    <font>
      <sz val="10"/>
      <name val="Arial"/>
      <family val="2"/>
    </font>
    <font>
      <u/>
      <sz val="10"/>
      <color theme="10"/>
      <name val="Arial"/>
      <family val="2"/>
    </font>
    <font>
      <b/>
      <sz val="10"/>
      <color theme="0"/>
      <name val="Arial"/>
      <family val="2"/>
    </font>
    <font>
      <sz val="10"/>
      <name val="Arial"/>
      <family val="2"/>
    </font>
    <font>
      <sz val="28"/>
      <color theme="2" tint="-0.499984740745262"/>
      <name val="Arial Black"/>
      <family val="2"/>
    </font>
    <font>
      <sz val="22"/>
      <name val="Arial Black"/>
      <family val="2"/>
    </font>
    <font>
      <sz val="22"/>
      <color theme="4" tint="0.39997558519241921"/>
      <name val="Arial Black"/>
      <family val="2"/>
    </font>
    <font>
      <sz val="22"/>
      <color theme="2" tint="-0.249977111117893"/>
      <name val="Arial Black"/>
      <family val="2"/>
    </font>
    <font>
      <i/>
      <sz val="10"/>
      <name val="Arial"/>
      <family val="2"/>
    </font>
    <font>
      <u/>
      <sz val="12"/>
      <color theme="5"/>
      <name val="Arial Black"/>
      <family val="2"/>
    </font>
    <font>
      <sz val="8"/>
      <name val="Arial"/>
      <family val="2"/>
    </font>
    <font>
      <u/>
      <sz val="10"/>
      <color theme="11"/>
      <name val="Arial"/>
      <family val="2"/>
    </font>
    <font>
      <b/>
      <sz val="11"/>
      <color rgb="FFFF0000"/>
      <name val="Arial"/>
      <family val="2"/>
    </font>
    <font>
      <sz val="8"/>
      <color rgb="FF000000"/>
      <name val="Segoe UI"/>
      <family val="2"/>
    </font>
    <font>
      <sz val="14"/>
      <name val="Arial Black"/>
      <family val="2"/>
    </font>
    <font>
      <sz val="10"/>
      <color rgb="FF000000"/>
      <name val="Arial"/>
      <family val="2"/>
    </font>
    <font>
      <b/>
      <sz val="10"/>
      <color rgb="FF000000"/>
      <name val="Arial"/>
      <family val="2"/>
    </font>
    <font>
      <b/>
      <sz val="11"/>
      <color theme="8" tint="-0.249977111117893"/>
      <name val="Arial"/>
      <family val="2"/>
    </font>
    <font>
      <sz val="12"/>
      <color theme="2" tint="-0.499984740745262"/>
      <name val="Arial Black"/>
      <family val="2"/>
    </font>
    <font>
      <sz val="12"/>
      <color theme="2" tint="-0.749992370372631"/>
      <name val="Arial Black"/>
      <family val="2"/>
    </font>
    <font>
      <sz val="16"/>
      <color theme="1" tint="0.14999847407452621"/>
      <name val="Arial Black"/>
      <family val="2"/>
    </font>
    <font>
      <b/>
      <sz val="11"/>
      <color theme="8" tint="-0.24994659260841701"/>
      <name val="Arial"/>
      <family val="2"/>
    </font>
    <font>
      <sz val="12"/>
      <color theme="2" tint="-0.749961851863155"/>
      <name val="Arial Black"/>
      <family val="2"/>
    </font>
    <font>
      <b/>
      <sz val="12"/>
      <color rgb="FF000000"/>
      <name val="Arial"/>
      <family val="2"/>
    </font>
    <font>
      <b/>
      <sz val="16"/>
      <color theme="2" tint="-0.749992370372631"/>
      <name val="Arial Black"/>
      <family val="2"/>
    </font>
    <font>
      <b/>
      <sz val="16"/>
      <name val="Arial Black"/>
      <family val="2"/>
    </font>
    <font>
      <u/>
      <sz val="16"/>
      <color theme="2" tint="-0.749961851863155"/>
      <name val="Arial Black"/>
      <family val="2"/>
    </font>
    <font>
      <b/>
      <sz val="18"/>
      <color theme="8" tint="-0.249977111117893"/>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theme="6" tint="0.79998168889431442"/>
        <bgColor rgb="FFEFEFEF"/>
      </patternFill>
    </fill>
    <fill>
      <patternFill patternType="solid">
        <fgColor theme="0" tint="-4.9989318521683403E-2"/>
        <bgColor indexed="64"/>
      </patternFill>
    </fill>
    <fill>
      <patternFill patternType="solid">
        <fgColor theme="0" tint="-0.249977111117893"/>
        <bgColor rgb="FFEFEFEF"/>
      </patternFill>
    </fill>
    <fill>
      <patternFill patternType="solid">
        <fgColor theme="1" tint="0.249977111117893"/>
        <bgColor indexed="64"/>
      </patternFill>
    </fill>
    <fill>
      <patternFill patternType="solid">
        <fgColor theme="1" tint="0.249977111117893"/>
        <bgColor rgb="FFEFEFEF"/>
      </patternFill>
    </fill>
    <fill>
      <patternFill patternType="solid">
        <fgColor theme="0" tint="-4.9989318521683403E-2"/>
        <bgColor rgb="FFEFEFEF"/>
      </patternFill>
    </fill>
    <fill>
      <patternFill patternType="solid">
        <fgColor theme="4"/>
        <bgColor indexed="64"/>
      </patternFill>
    </fill>
    <fill>
      <patternFill patternType="solid">
        <fgColor theme="0" tint="-0.14999847407452621"/>
        <bgColor indexed="64"/>
      </patternFill>
    </fill>
    <fill>
      <patternFill patternType="solid">
        <fgColor theme="1" tint="0.499984740745262"/>
        <bgColor indexed="64"/>
      </patternFill>
    </fill>
  </fills>
  <borders count="24">
    <border>
      <left/>
      <right/>
      <top/>
      <bottom/>
      <diagonal/>
    </border>
    <border>
      <left/>
      <right/>
      <top/>
      <bottom/>
      <diagonal/>
    </border>
    <border>
      <left/>
      <right/>
      <top/>
      <bottom style="double">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
      <left/>
      <right/>
      <top style="double">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thin">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style="thin">
        <color auto="1"/>
      </left>
      <right/>
      <top/>
      <bottom/>
      <diagonal/>
    </border>
    <border>
      <left/>
      <right style="thin">
        <color auto="1"/>
      </right>
      <top/>
      <bottom/>
      <diagonal/>
    </border>
    <border>
      <left/>
      <right/>
      <top/>
      <bottom style="hair">
        <color auto="1"/>
      </bottom>
      <diagonal/>
    </border>
    <border>
      <left/>
      <right/>
      <top style="hair">
        <color auto="1"/>
      </top>
      <bottom/>
      <diagonal/>
    </border>
    <border>
      <left style="hair">
        <color auto="1"/>
      </left>
      <right style="hair">
        <color auto="1"/>
      </right>
      <top/>
      <bottom/>
      <diagonal/>
    </border>
  </borders>
  <cellStyleXfs count="13">
    <xf numFmtId="0" fontId="0" fillId="0" borderId="0"/>
    <xf numFmtId="0" fontId="5" fillId="0" borderId="0" applyNumberFormat="0" applyFill="0" applyBorder="0" applyAlignment="0" applyProtection="0"/>
    <xf numFmtId="9" fontId="7" fillId="0" borderId="0" applyFon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2" fillId="0" borderId="1"/>
  </cellStyleXfs>
  <cellXfs count="177">
    <xf numFmtId="0" fontId="0" fillId="0" borderId="0" xfId="0"/>
    <xf numFmtId="0" fontId="4" fillId="0" borderId="0" xfId="0" applyFont="1"/>
    <xf numFmtId="0" fontId="0" fillId="0" borderId="0" xfId="0" applyAlignment="1"/>
    <xf numFmtId="0" fontId="1" fillId="0" borderId="0" xfId="0" applyFont="1"/>
    <xf numFmtId="0" fontId="2" fillId="0" borderId="1" xfId="0" applyFont="1" applyBorder="1" applyAlignment="1">
      <alignment horizontal="left" vertical="top"/>
    </xf>
    <xf numFmtId="0" fontId="1" fillId="0" borderId="1" xfId="0" applyFont="1" applyBorder="1" applyAlignment="1">
      <alignment horizontal="left" vertical="center"/>
    </xf>
    <xf numFmtId="0" fontId="0" fillId="0" borderId="1" xfId="0" applyBorder="1"/>
    <xf numFmtId="0" fontId="2" fillId="0" borderId="3" xfId="0" applyFont="1" applyBorder="1" applyAlignment="1">
      <alignment horizontal="left" vertical="center" wrapText="1"/>
    </xf>
    <xf numFmtId="0" fontId="5" fillId="0" borderId="3" xfId="1" applyBorder="1" applyAlignment="1">
      <alignment horizontal="left" vertical="center" wrapText="1"/>
    </xf>
    <xf numFmtId="0" fontId="2" fillId="0" borderId="3" xfId="0" applyFont="1" applyBorder="1" applyAlignment="1">
      <alignment horizontal="left" vertical="center"/>
    </xf>
    <xf numFmtId="0" fontId="2" fillId="0" borderId="1" xfId="0" applyFont="1" applyFill="1" applyBorder="1" applyAlignment="1">
      <alignment horizontal="left" vertical="top" wrapText="1"/>
    </xf>
    <xf numFmtId="0" fontId="2" fillId="0" borderId="1" xfId="0" applyFont="1" applyFill="1" applyBorder="1" applyAlignment="1">
      <alignment horizontal="left" vertical="center" wrapText="1"/>
    </xf>
    <xf numFmtId="0" fontId="2" fillId="0" borderId="1" xfId="0" applyFont="1" applyFill="1" applyBorder="1" applyAlignment="1">
      <alignment horizontal="center" vertical="center" wrapText="1"/>
    </xf>
    <xf numFmtId="0" fontId="2" fillId="4" borderId="6" xfId="0" applyFont="1" applyFill="1" applyBorder="1" applyAlignment="1">
      <alignment vertical="top" wrapText="1"/>
    </xf>
    <xf numFmtId="0" fontId="2" fillId="3" borderId="6" xfId="0" applyFont="1" applyFill="1" applyBorder="1" applyAlignment="1">
      <alignment horizontal="center" vertical="top" wrapText="1"/>
    </xf>
    <xf numFmtId="0" fontId="2" fillId="4" borderId="5" xfId="0" applyFont="1" applyFill="1" applyBorder="1" applyAlignment="1">
      <alignment vertical="top" wrapText="1"/>
    </xf>
    <xf numFmtId="0" fontId="6" fillId="7" borderId="6" xfId="0" applyFont="1" applyFill="1" applyBorder="1" applyAlignment="1">
      <alignment vertical="center" wrapText="1"/>
    </xf>
    <xf numFmtId="0" fontId="6" fillId="6" borderId="5" xfId="0" applyFont="1" applyFill="1" applyBorder="1" applyAlignment="1">
      <alignment vertical="center"/>
    </xf>
    <xf numFmtId="0" fontId="3" fillId="5" borderId="5" xfId="0" applyFont="1" applyFill="1" applyBorder="1" applyAlignment="1">
      <alignment horizontal="left" vertical="center" wrapText="1"/>
    </xf>
    <xf numFmtId="0" fontId="2" fillId="3" borderId="6" xfId="0" applyFont="1" applyFill="1" applyBorder="1" applyAlignment="1">
      <alignment vertical="top" wrapText="1"/>
    </xf>
    <xf numFmtId="0" fontId="2" fillId="0" borderId="6" xfId="0" applyFont="1" applyBorder="1" applyAlignment="1">
      <alignment vertical="top" wrapText="1"/>
    </xf>
    <xf numFmtId="0" fontId="2" fillId="0" borderId="6" xfId="0" applyFont="1" applyFill="1" applyBorder="1" applyAlignment="1">
      <alignment horizontal="center" vertical="top" wrapText="1"/>
    </xf>
    <xf numFmtId="0" fontId="0" fillId="2" borderId="5" xfId="0" applyFill="1" applyBorder="1" applyAlignment="1">
      <alignment vertical="top"/>
    </xf>
    <xf numFmtId="0" fontId="3" fillId="5" borderId="5" xfId="0" applyFont="1" applyFill="1" applyBorder="1" applyAlignment="1">
      <alignment horizontal="left" vertical="top" wrapText="1"/>
    </xf>
    <xf numFmtId="0" fontId="2" fillId="0" borderId="6" xfId="0" applyFont="1" applyFill="1" applyBorder="1" applyAlignment="1">
      <alignment vertical="top" wrapText="1"/>
    </xf>
    <xf numFmtId="0" fontId="0" fillId="0" borderId="5" xfId="0" applyFill="1" applyBorder="1" applyAlignment="1">
      <alignment vertical="top"/>
    </xf>
    <xf numFmtId="0" fontId="2" fillId="8" borderId="6" xfId="0" applyFont="1" applyFill="1" applyBorder="1" applyAlignment="1">
      <alignment vertical="top" wrapText="1"/>
    </xf>
    <xf numFmtId="0" fontId="2" fillId="8" borderId="6" xfId="0" applyFont="1" applyFill="1" applyBorder="1" applyAlignment="1">
      <alignment horizontal="center" vertical="top" wrapText="1"/>
    </xf>
    <xf numFmtId="0" fontId="2" fillId="4" borderId="5" xfId="0" applyFont="1" applyFill="1" applyBorder="1" applyAlignment="1">
      <alignment vertical="top"/>
    </xf>
    <xf numFmtId="0" fontId="5" fillId="0" borderId="5" xfId="1" applyBorder="1" applyAlignment="1">
      <alignment vertical="top"/>
    </xf>
    <xf numFmtId="0" fontId="0" fillId="4" borderId="6" xfId="0" applyFill="1" applyBorder="1" applyAlignment="1">
      <alignment vertical="top"/>
    </xf>
    <xf numFmtId="0" fontId="4" fillId="0" borderId="5" xfId="0" applyFont="1" applyFill="1" applyBorder="1" applyAlignment="1">
      <alignment vertical="top"/>
    </xf>
    <xf numFmtId="0" fontId="1" fillId="0" borderId="3" xfId="0" applyFont="1" applyBorder="1"/>
    <xf numFmtId="0" fontId="0" fillId="0" borderId="3" xfId="0" applyBorder="1" applyAlignment="1">
      <alignment horizontal="center" vertical="center"/>
    </xf>
    <xf numFmtId="0" fontId="0" fillId="0" borderId="3" xfId="0" applyBorder="1" applyAlignment="1">
      <alignment vertical="center" wrapText="1"/>
    </xf>
    <xf numFmtId="0" fontId="2" fillId="0" borderId="3" xfId="0" applyFont="1" applyBorder="1" applyAlignment="1">
      <alignment vertical="center" wrapText="1"/>
    </xf>
    <xf numFmtId="0" fontId="5" fillId="0" borderId="3" xfId="1" applyBorder="1" applyAlignment="1">
      <alignment horizontal="center" vertical="center"/>
    </xf>
    <xf numFmtId="0" fontId="1" fillId="0" borderId="3" xfId="0" applyFont="1" applyBorder="1" applyAlignment="1">
      <alignment horizontal="center"/>
    </xf>
    <xf numFmtId="0" fontId="12" fillId="0" borderId="0" xfId="0" applyFont="1" applyAlignment="1">
      <alignment vertical="center"/>
    </xf>
    <xf numFmtId="0" fontId="13" fillId="0" borderId="2" xfId="1" applyFont="1" applyBorder="1" applyAlignment="1">
      <alignment horizontal="right" vertical="center"/>
    </xf>
    <xf numFmtId="9" fontId="0" fillId="0" borderId="0" xfId="0" applyNumberFormat="1" applyAlignment="1">
      <alignment horizontal="center" vertical="center"/>
    </xf>
    <xf numFmtId="9" fontId="0" fillId="0" borderId="1" xfId="2" applyFont="1" applyBorder="1"/>
    <xf numFmtId="0" fontId="5" fillId="0" borderId="5" xfId="1" applyFill="1" applyBorder="1" applyAlignment="1">
      <alignment vertical="top"/>
    </xf>
    <xf numFmtId="0" fontId="0" fillId="0" borderId="3"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 xfId="0" applyBorder="1" applyAlignment="1">
      <alignment vertical="top" wrapText="1"/>
    </xf>
    <xf numFmtId="0" fontId="9" fillId="0" borderId="2" xfId="0" applyFont="1" applyBorder="1" applyAlignment="1">
      <alignment vertical="center" wrapText="1"/>
    </xf>
    <xf numFmtId="0" fontId="2" fillId="0" borderId="0" xfId="0" applyFont="1"/>
    <xf numFmtId="0" fontId="0" fillId="0" borderId="14" xfId="0" applyBorder="1"/>
    <xf numFmtId="0" fontId="2" fillId="0" borderId="12" xfId="0" applyFont="1" applyBorder="1"/>
    <xf numFmtId="0" fontId="0" fillId="0" borderId="15" xfId="0" applyBorder="1"/>
    <xf numFmtId="0" fontId="1" fillId="0" borderId="4" xfId="0" applyFont="1" applyBorder="1"/>
    <xf numFmtId="0" fontId="0" fillId="0" borderId="5" xfId="0" applyBorder="1"/>
    <xf numFmtId="0" fontId="0" fillId="0" borderId="1" xfId="0" applyBorder="1" applyAlignment="1">
      <alignment horizontal="left" vertical="top"/>
    </xf>
    <xf numFmtId="0" fontId="2" fillId="0" borderId="3" xfId="0" applyFont="1" applyBorder="1" applyAlignment="1">
      <alignment horizontal="left" vertical="top" wrapText="1"/>
    </xf>
    <xf numFmtId="0" fontId="1" fillId="0" borderId="4" xfId="0" applyFont="1" applyBorder="1"/>
    <xf numFmtId="0" fontId="16" fillId="0" borderId="0" xfId="0" applyFont="1"/>
    <xf numFmtId="0" fontId="1" fillId="0" borderId="3" xfId="0" applyFont="1" applyBorder="1" applyAlignment="1">
      <alignment horizontal="left" vertical="center"/>
    </xf>
    <xf numFmtId="0" fontId="2" fillId="0" borderId="3" xfId="0" applyFont="1" applyBorder="1"/>
    <xf numFmtId="0" fontId="2" fillId="0" borderId="3" xfId="0" applyFont="1" applyBorder="1" applyAlignment="1">
      <alignment horizontal="center" vertical="center"/>
    </xf>
    <xf numFmtId="9" fontId="12" fillId="0" borderId="1" xfId="2" applyFont="1" applyBorder="1" applyAlignment="1">
      <alignment vertical="center"/>
    </xf>
    <xf numFmtId="9" fontId="0" fillId="0" borderId="1" xfId="2" applyFont="1" applyBorder="1" applyAlignment="1"/>
    <xf numFmtId="0" fontId="0" fillId="0" borderId="1" xfId="0" applyBorder="1" applyAlignment="1">
      <alignment horizontal="center"/>
    </xf>
    <xf numFmtId="0" fontId="1" fillId="0" borderId="1" xfId="0" applyFont="1" applyBorder="1" applyAlignment="1">
      <alignment horizontal="right" vertical="center"/>
    </xf>
    <xf numFmtId="0" fontId="2" fillId="0" borderId="1" xfId="0" applyFont="1" applyBorder="1" applyAlignment="1">
      <alignment horizontal="left" vertical="center"/>
    </xf>
    <xf numFmtId="0" fontId="5" fillId="0" borderId="0" xfId="1"/>
    <xf numFmtId="0" fontId="0" fillId="0" borderId="1" xfId="0" applyBorder="1" applyAlignment="1">
      <alignment horizontal="center"/>
    </xf>
    <xf numFmtId="0" fontId="13" fillId="0" borderId="2" xfId="1" applyFont="1" applyBorder="1" applyAlignment="1">
      <alignment horizontal="right" vertical="center"/>
    </xf>
    <xf numFmtId="0" fontId="2" fillId="0" borderId="0" xfId="0" applyFont="1" applyAlignment="1">
      <alignment horizontal="left" vertical="top" wrapText="1"/>
    </xf>
    <xf numFmtId="0" fontId="8" fillId="0" borderId="1" xfId="0" applyFont="1" applyBorder="1" applyAlignment="1">
      <alignment horizontal="left" vertical="center" wrapText="1"/>
    </xf>
    <xf numFmtId="0" fontId="2" fillId="0" borderId="4" xfId="0" applyFont="1" applyBorder="1" applyAlignment="1">
      <alignment horizontal="right" vertical="center"/>
    </xf>
    <xf numFmtId="0" fontId="1" fillId="0" borderId="5" xfId="0" applyFont="1" applyBorder="1" applyAlignment="1">
      <alignment horizontal="left" vertical="center"/>
    </xf>
    <xf numFmtId="0" fontId="2" fillId="0" borderId="3" xfId="0" applyFont="1" applyBorder="1" applyAlignment="1">
      <alignment horizontal="right" vertical="center" wrapText="1"/>
    </xf>
    <xf numFmtId="0" fontId="2" fillId="0" borderId="3" xfId="0" applyFont="1" applyBorder="1" applyAlignment="1">
      <alignment horizontal="center" vertical="center" wrapText="1"/>
    </xf>
    <xf numFmtId="0" fontId="2" fillId="0" borderId="0" xfId="0" applyFont="1" applyAlignment="1">
      <alignment horizontal="right" vertical="top"/>
    </xf>
    <xf numFmtId="0" fontId="19" fillId="0" borderId="3" xfId="0" applyFont="1" applyBorder="1" applyAlignment="1">
      <alignment horizontal="right" vertical="center" wrapText="1"/>
    </xf>
    <xf numFmtId="0" fontId="2" fillId="0" borderId="0" xfId="0" applyFont="1" applyAlignment="1">
      <alignment vertical="top" wrapText="1"/>
    </xf>
    <xf numFmtId="0" fontId="21" fillId="0" borderId="6" xfId="0" applyFont="1" applyBorder="1" applyAlignment="1">
      <alignment horizontal="center" vertical="center"/>
    </xf>
    <xf numFmtId="0" fontId="0" fillId="0" borderId="16" xfId="0" applyBorder="1"/>
    <xf numFmtId="0" fontId="21" fillId="0" borderId="4" xfId="0" applyFont="1" applyBorder="1" applyAlignment="1">
      <alignment horizontal="center" vertical="center"/>
    </xf>
    <xf numFmtId="0" fontId="22" fillId="0" borderId="1" xfId="0" applyFont="1" applyBorder="1" applyAlignment="1">
      <alignment vertical="center" wrapText="1"/>
    </xf>
    <xf numFmtId="0" fontId="23" fillId="0" borderId="1" xfId="0" applyFont="1" applyBorder="1" applyAlignment="1">
      <alignment vertical="center" wrapText="1"/>
    </xf>
    <xf numFmtId="0" fontId="2" fillId="2" borderId="5" xfId="0" applyFont="1" applyFill="1" applyBorder="1" applyAlignment="1">
      <alignment vertical="top" wrapText="1"/>
    </xf>
    <xf numFmtId="0" fontId="2" fillId="0" borderId="5" xfId="0" applyFont="1" applyBorder="1" applyAlignment="1">
      <alignment vertical="top" wrapText="1"/>
    </xf>
    <xf numFmtId="9" fontId="24" fillId="0" borderId="6" xfId="2" applyFont="1" applyBorder="1" applyAlignment="1">
      <alignment vertical="center" wrapText="1"/>
    </xf>
    <xf numFmtId="9" fontId="24" fillId="0" borderId="1" xfId="2" applyFont="1" applyBorder="1" applyAlignment="1">
      <alignment vertical="center" wrapText="1"/>
    </xf>
    <xf numFmtId="0" fontId="25" fillId="2" borderId="0" xfId="1" applyFont="1" applyFill="1" applyAlignment="1">
      <alignment horizontal="center" vertical="center"/>
    </xf>
    <xf numFmtId="0" fontId="25" fillId="0" borderId="4" xfId="1" applyFont="1" applyBorder="1" applyAlignment="1">
      <alignment horizontal="center" vertical="center"/>
    </xf>
    <xf numFmtId="0" fontId="21" fillId="2" borderId="0" xfId="1" applyFont="1" applyFill="1" applyAlignment="1">
      <alignment horizontal="center" vertical="center"/>
    </xf>
    <xf numFmtId="0" fontId="21" fillId="2" borderId="4" xfId="1" applyFont="1" applyFill="1" applyBorder="1" applyAlignment="1">
      <alignment horizontal="center" vertical="center"/>
    </xf>
    <xf numFmtId="0" fontId="26" fillId="0" borderId="1" xfId="1" applyFont="1" applyBorder="1" applyAlignment="1">
      <alignment horizontal="right" vertical="center" wrapText="1"/>
    </xf>
    <xf numFmtId="0" fontId="26" fillId="0" borderId="1" xfId="1" applyFont="1" applyBorder="1" applyAlignment="1">
      <alignment vertical="center" wrapText="1"/>
    </xf>
    <xf numFmtId="0" fontId="2" fillId="0" borderId="0" xfId="0" applyFont="1"/>
    <xf numFmtId="0" fontId="0" fillId="0" borderId="0" xfId="0" applyAlignment="1">
      <alignment vertical="center"/>
    </xf>
    <xf numFmtId="0" fontId="0" fillId="0" borderId="5" xfId="0" applyNumberFormat="1" applyBorder="1" applyAlignment="1">
      <alignment vertical="top"/>
    </xf>
    <xf numFmtId="0" fontId="2" fillId="0" borderId="0" xfId="0" applyFont="1"/>
    <xf numFmtId="0" fontId="0" fillId="0" borderId="1" xfId="0" applyBorder="1" applyAlignment="1">
      <alignment horizontal="center" vertical="center"/>
    </xf>
    <xf numFmtId="0" fontId="2" fillId="0" borderId="0" xfId="0" applyFont="1" applyAlignment="1">
      <alignment wrapText="1"/>
    </xf>
    <xf numFmtId="0" fontId="2" fillId="0" borderId="0" xfId="0" applyFont="1"/>
    <xf numFmtId="0" fontId="2" fillId="0" borderId="0" xfId="0" applyFont="1"/>
    <xf numFmtId="0" fontId="2" fillId="0" borderId="1" xfId="0" applyFont="1" applyBorder="1" applyAlignment="1">
      <alignment horizontal="left" vertical="top" wrapText="1"/>
    </xf>
    <xf numFmtId="0" fontId="13" fillId="0" borderId="2" xfId="1" applyFont="1" applyBorder="1" applyAlignment="1">
      <alignment horizontal="right" vertical="center"/>
    </xf>
    <xf numFmtId="0" fontId="2" fillId="0" borderId="0" xfId="0" applyFont="1"/>
    <xf numFmtId="0" fontId="0" fillId="0" borderId="22" xfId="0" applyBorder="1"/>
    <xf numFmtId="0" fontId="2" fillId="0" borderId="3" xfId="0" applyFont="1" applyBorder="1" applyAlignment="1">
      <alignment horizontal="left" vertical="top" wrapText="1"/>
    </xf>
    <xf numFmtId="0" fontId="0" fillId="0" borderId="3" xfId="0" applyBorder="1" applyAlignment="1">
      <alignment wrapText="1"/>
    </xf>
    <xf numFmtId="0" fontId="0" fillId="0" borderId="0" xfId="0" applyAlignment="1">
      <alignment vertical="center" wrapText="1"/>
    </xf>
    <xf numFmtId="0" fontId="8" fillId="0" borderId="1" xfId="0" applyFont="1" applyBorder="1" applyAlignment="1">
      <alignment vertical="center" wrapText="1"/>
    </xf>
    <xf numFmtId="14" fontId="0" fillId="0" borderId="0" xfId="0" applyNumberFormat="1" applyAlignment="1">
      <alignment vertical="top"/>
    </xf>
    <xf numFmtId="0" fontId="2" fillId="0" borderId="3" xfId="0" applyFont="1" applyBorder="1" applyAlignment="1">
      <alignment wrapText="1"/>
    </xf>
    <xf numFmtId="0" fontId="0" fillId="0" borderId="2" xfId="0" applyBorder="1"/>
    <xf numFmtId="0" fontId="31" fillId="0" borderId="1" xfId="0" applyFont="1" applyBorder="1" applyAlignment="1">
      <alignment horizontal="left" vertical="top" wrapText="1"/>
    </xf>
    <xf numFmtId="0" fontId="6" fillId="11" borderId="3" xfId="0" applyFont="1" applyFill="1" applyBorder="1" applyAlignment="1">
      <alignment vertical="center"/>
    </xf>
    <xf numFmtId="0" fontId="26" fillId="0" borderId="22" xfId="1" applyFont="1" applyBorder="1" applyAlignment="1">
      <alignment horizontal="right" vertical="center" wrapText="1"/>
    </xf>
    <xf numFmtId="0" fontId="26" fillId="0" borderId="1" xfId="1" applyFont="1" applyBorder="1" applyAlignment="1">
      <alignment horizontal="right" vertical="center"/>
    </xf>
    <xf numFmtId="0" fontId="12" fillId="0" borderId="0" xfId="0" applyFont="1" applyAlignment="1">
      <alignment vertical="center" wrapText="1"/>
    </xf>
    <xf numFmtId="0" fontId="1" fillId="0" borderId="0" xfId="0" applyFont="1" applyAlignment="1">
      <alignment wrapText="1"/>
    </xf>
    <xf numFmtId="0" fontId="5" fillId="0" borderId="23" xfId="1" applyFill="1" applyBorder="1" applyAlignment="1">
      <alignment horizontal="right" wrapText="1"/>
    </xf>
    <xf numFmtId="0" fontId="1" fillId="0" borderId="4" xfId="0" applyFont="1" applyBorder="1" applyAlignment="1">
      <alignment horizontal="right" vertical="center"/>
    </xf>
    <xf numFmtId="0" fontId="1" fillId="0" borderId="5" xfId="0" applyFont="1" applyBorder="1" applyAlignment="1">
      <alignment horizontal="right" vertical="center"/>
    </xf>
    <xf numFmtId="0" fontId="5" fillId="0" borderId="0" xfId="1" applyAlignment="1">
      <alignment vertical="center"/>
    </xf>
    <xf numFmtId="0" fontId="1" fillId="0" borderId="0" xfId="0" applyFont="1" applyAlignment="1">
      <alignment horizontal="right" vertical="top" wrapText="1"/>
    </xf>
    <xf numFmtId="0" fontId="30" fillId="0" borderId="21" xfId="1" applyFont="1" applyBorder="1" applyAlignment="1">
      <alignment horizontal="right" vertical="center" wrapText="1"/>
    </xf>
    <xf numFmtId="0" fontId="28" fillId="0" borderId="1" xfId="0" applyFont="1" applyBorder="1" applyAlignment="1">
      <alignment horizontal="center" vertical="center" wrapText="1"/>
    </xf>
    <xf numFmtId="9" fontId="29" fillId="0" borderId="4" xfId="2" applyFont="1" applyBorder="1" applyAlignment="1">
      <alignment horizontal="center" vertical="center" wrapText="1"/>
    </xf>
    <xf numFmtId="9" fontId="29" fillId="0" borderId="6" xfId="2" applyFont="1" applyBorder="1" applyAlignment="1">
      <alignment horizontal="center" vertical="center" wrapText="1"/>
    </xf>
    <xf numFmtId="9" fontId="29" fillId="0" borderId="5" xfId="2" applyFont="1" applyBorder="1" applyAlignment="1">
      <alignment horizontal="center" vertical="center" wrapText="1"/>
    </xf>
    <xf numFmtId="0" fontId="8" fillId="0" borderId="7" xfId="0" applyFont="1" applyBorder="1" applyAlignment="1">
      <alignment horizontal="left" vertical="center" wrapText="1"/>
    </xf>
    <xf numFmtId="0" fontId="18" fillId="0" borderId="1" xfId="0" applyFont="1" applyBorder="1" applyAlignment="1">
      <alignment horizontal="left" vertical="center" wrapText="1"/>
    </xf>
    <xf numFmtId="0" fontId="9" fillId="0" borderId="2" xfId="0" applyFont="1" applyBorder="1" applyAlignment="1">
      <alignment horizontal="left" vertical="center" wrapText="1"/>
    </xf>
    <xf numFmtId="0" fontId="1" fillId="0" borderId="1" xfId="0" applyFont="1" applyBorder="1" applyAlignment="1">
      <alignment horizontal="left" vertical="center" wrapText="1"/>
    </xf>
    <xf numFmtId="0" fontId="2" fillId="0" borderId="1" xfId="0" applyFont="1" applyBorder="1" applyAlignment="1">
      <alignment horizontal="left" vertical="top" wrapText="1"/>
    </xf>
    <xf numFmtId="0" fontId="1" fillId="0" borderId="3" xfId="0" applyFont="1" applyBorder="1" applyAlignment="1">
      <alignment horizontal="right" vertical="center"/>
    </xf>
    <xf numFmtId="0" fontId="1" fillId="0" borderId="4" xfId="0" applyFont="1" applyBorder="1" applyAlignment="1">
      <alignment horizontal="right" vertical="center"/>
    </xf>
    <xf numFmtId="0" fontId="1" fillId="0" borderId="5" xfId="0" applyFont="1" applyBorder="1" applyAlignment="1">
      <alignment horizontal="right" vertical="center"/>
    </xf>
    <xf numFmtId="0" fontId="13" fillId="0" borderId="2" xfId="1" applyFont="1" applyBorder="1" applyAlignment="1">
      <alignment horizontal="right" vertical="center"/>
    </xf>
    <xf numFmtId="0" fontId="6" fillId="9" borderId="9" xfId="0" applyFont="1" applyFill="1" applyBorder="1" applyAlignment="1">
      <alignment horizontal="left" vertical="center"/>
    </xf>
    <xf numFmtId="0" fontId="6" fillId="9" borderId="8" xfId="0" applyFont="1" applyFill="1" applyBorder="1" applyAlignment="1">
      <alignment horizontal="left" vertical="center"/>
    </xf>
    <xf numFmtId="0" fontId="2" fillId="0" borderId="15" xfId="0" applyFont="1" applyBorder="1" applyAlignment="1">
      <alignment horizontal="left" vertical="top" wrapText="1"/>
    </xf>
    <xf numFmtId="0" fontId="0" fillId="0" borderId="16" xfId="0" applyBorder="1" applyAlignment="1">
      <alignment horizontal="left" vertical="top" wrapText="1"/>
    </xf>
    <xf numFmtId="0" fontId="0" fillId="0" borderId="17" xfId="0" applyBorder="1" applyAlignment="1">
      <alignment horizontal="left" vertical="top" wrapText="1"/>
    </xf>
    <xf numFmtId="0" fontId="0" fillId="0" borderId="18" xfId="0" applyBorder="1" applyAlignment="1">
      <alignment horizontal="left" vertical="top" wrapText="1"/>
    </xf>
    <xf numFmtId="0" fontId="2" fillId="0" borderId="3" xfId="0" applyFont="1" applyBorder="1" applyAlignment="1">
      <alignment horizontal="left" vertical="top" wrapText="1"/>
    </xf>
    <xf numFmtId="0" fontId="0" fillId="0" borderId="3" xfId="0" applyBorder="1" applyAlignment="1">
      <alignment horizontal="left" vertical="top"/>
    </xf>
    <xf numFmtId="0" fontId="1" fillId="0" borderId="4" xfId="0" applyFont="1" applyBorder="1"/>
    <xf numFmtId="0" fontId="1" fillId="0" borderId="6" xfId="0" applyFont="1" applyBorder="1"/>
    <xf numFmtId="0" fontId="1" fillId="0" borderId="5" xfId="0" applyFont="1" applyBorder="1"/>
    <xf numFmtId="0" fontId="0" fillId="0" borderId="3" xfId="0" applyBorder="1" applyAlignment="1">
      <alignment horizontal="left" vertical="top" wrapText="1"/>
    </xf>
    <xf numFmtId="0" fontId="8" fillId="0" borderId="7" xfId="0" applyFont="1" applyBorder="1" applyAlignment="1">
      <alignment vertical="center" wrapText="1"/>
    </xf>
    <xf numFmtId="0" fontId="2" fillId="0" borderId="0" xfId="0" applyFont="1" applyAlignment="1">
      <alignment horizontal="left" vertical="center" wrapText="1"/>
    </xf>
    <xf numFmtId="0" fontId="0" fillId="0" borderId="0" xfId="0" applyAlignment="1">
      <alignment horizontal="left" vertical="center" wrapText="1"/>
    </xf>
    <xf numFmtId="0" fontId="6" fillId="9" borderId="19" xfId="0" applyFont="1" applyFill="1" applyBorder="1" applyAlignment="1">
      <alignment horizontal="left" vertical="center"/>
    </xf>
    <xf numFmtId="0" fontId="6" fillId="9" borderId="20" xfId="0" applyFont="1" applyFill="1" applyBorder="1" applyAlignment="1">
      <alignment horizontal="left" vertical="center"/>
    </xf>
    <xf numFmtId="9" fontId="24" fillId="0" borderId="4" xfId="2" applyFont="1" applyBorder="1" applyAlignment="1">
      <alignment horizontal="center" vertical="center" wrapText="1"/>
    </xf>
    <xf numFmtId="9" fontId="24" fillId="0" borderId="6" xfId="2" applyFont="1" applyBorder="1" applyAlignment="1">
      <alignment horizontal="center" vertical="center" wrapText="1"/>
    </xf>
    <xf numFmtId="9" fontId="24" fillId="0" borderId="5" xfId="2" applyFont="1" applyBorder="1" applyAlignment="1">
      <alignment horizontal="center" vertical="center" wrapText="1"/>
    </xf>
    <xf numFmtId="0" fontId="23" fillId="0" borderId="1" xfId="0" applyFont="1" applyBorder="1" applyAlignment="1">
      <alignment horizontal="center" vertical="center" wrapText="1"/>
    </xf>
    <xf numFmtId="0" fontId="3" fillId="5" borderId="4" xfId="0" applyFont="1" applyFill="1" applyBorder="1" applyAlignment="1">
      <alignment horizontal="left" vertical="top" wrapText="1"/>
    </xf>
    <xf numFmtId="0" fontId="3" fillId="5" borderId="6" xfId="0" applyFont="1" applyFill="1" applyBorder="1" applyAlignment="1">
      <alignment horizontal="left" vertical="top" wrapText="1"/>
    </xf>
    <xf numFmtId="0" fontId="6" fillId="7" borderId="6" xfId="0" applyFont="1" applyFill="1" applyBorder="1" applyAlignment="1">
      <alignment vertical="center" wrapText="1"/>
    </xf>
    <xf numFmtId="0" fontId="2" fillId="0" borderId="1" xfId="0" applyFont="1" applyFill="1" applyBorder="1" applyAlignment="1">
      <alignment horizontal="left" vertical="center" wrapText="1"/>
    </xf>
    <xf numFmtId="0" fontId="26" fillId="0" borderId="22" xfId="1" applyFont="1" applyBorder="1" applyAlignment="1">
      <alignment horizontal="left" vertical="center" wrapText="1"/>
    </xf>
    <xf numFmtId="0" fontId="1" fillId="5" borderId="4" xfId="0" applyFont="1" applyFill="1" applyBorder="1" applyAlignment="1">
      <alignment horizontal="left" vertical="top" wrapText="1"/>
    </xf>
    <xf numFmtId="0" fontId="5" fillId="0" borderId="1" xfId="1" applyBorder="1" applyAlignment="1">
      <alignment horizontal="center" vertical="center"/>
    </xf>
    <xf numFmtId="0" fontId="26" fillId="0" borderId="1" xfId="1" applyFont="1" applyBorder="1" applyAlignment="1">
      <alignment horizontal="left" vertical="center" wrapText="1"/>
    </xf>
    <xf numFmtId="0" fontId="12" fillId="0" borderId="21" xfId="0" applyFont="1" applyBorder="1" applyAlignment="1">
      <alignment horizontal="left" vertical="top" wrapText="1"/>
    </xf>
    <xf numFmtId="0" fontId="1" fillId="0" borderId="1" xfId="0" applyFont="1" applyBorder="1" applyAlignment="1">
      <alignment horizontal="left" vertical="top" wrapText="1"/>
    </xf>
    <xf numFmtId="0" fontId="8" fillId="0" borderId="1" xfId="0" applyFont="1" applyBorder="1" applyAlignment="1">
      <alignment horizontal="left" vertical="center" wrapText="1"/>
    </xf>
    <xf numFmtId="0" fontId="2" fillId="0" borderId="0" xfId="0" applyFont="1" applyAlignment="1">
      <alignment horizontal="left" vertical="top" wrapText="1"/>
    </xf>
    <xf numFmtId="0" fontId="0" fillId="0" borderId="0" xfId="0" applyAlignment="1">
      <alignment horizontal="left" vertical="top" wrapText="1"/>
    </xf>
    <xf numFmtId="0" fontId="20" fillId="10" borderId="4" xfId="0" applyFont="1" applyFill="1" applyBorder="1" applyAlignment="1">
      <alignment horizontal="center" vertical="center" wrapText="1"/>
    </xf>
    <xf numFmtId="0" fontId="20" fillId="10" borderId="5" xfId="0" applyFont="1" applyFill="1" applyBorder="1" applyAlignment="1">
      <alignment horizontal="center" vertical="center" wrapText="1"/>
    </xf>
    <xf numFmtId="0" fontId="1" fillId="0" borderId="21" xfId="0" applyFont="1" applyBorder="1" applyAlignment="1">
      <alignment horizontal="center" vertical="center" wrapText="1"/>
    </xf>
    <xf numFmtId="0" fontId="23" fillId="0" borderId="21" xfId="0" applyFont="1" applyBorder="1" applyAlignment="1">
      <alignment horizontal="center" vertical="center" wrapText="1"/>
    </xf>
  </cellXfs>
  <cellStyles count="1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Hyperlink" xfId="1" builtinId="8"/>
    <cellStyle name="Normal" xfId="0" builtinId="0"/>
    <cellStyle name="Normal 2" xfId="12"/>
    <cellStyle name="Percent" xfId="2" builtinId="5"/>
  </cellStyles>
  <dxfs count="25">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color auto="1"/>
      </font>
    </dxf>
    <dxf>
      <font>
        <color theme="9" tint="-0.24994659260841701"/>
      </font>
    </dxf>
    <dxf>
      <font>
        <color rgb="FFC00000"/>
      </font>
    </dxf>
    <dxf>
      <font>
        <color theme="9" tint="-0.24994659260841701"/>
      </font>
    </dxf>
    <dxf>
      <font>
        <b/>
        <i val="0"/>
        <color theme="7" tint="-0.24994659260841701"/>
      </font>
      <fill>
        <patternFill>
          <bgColor theme="7" tint="0.79998168889431442"/>
        </patternFill>
      </fill>
    </dxf>
    <dxf>
      <font>
        <color theme="0" tint="-0.24994659260841701"/>
      </font>
      <fill>
        <patternFill>
          <bgColor theme="2"/>
        </patternFill>
      </fill>
    </dxf>
    <dxf>
      <font>
        <color auto="1"/>
      </font>
    </dxf>
    <dxf>
      <font>
        <color theme="9" tint="-0.24994659260841701"/>
      </font>
    </dxf>
    <dxf>
      <font>
        <color rgb="FFC00000"/>
      </font>
    </dxf>
    <dxf>
      <font>
        <color theme="9" tint="-0.24994659260841701"/>
      </font>
    </dxf>
    <dxf>
      <font>
        <color rgb="FFC00000"/>
      </font>
    </dxf>
    <dxf>
      <font>
        <color theme="9" tint="-0.24994659260841701"/>
      </font>
    </dxf>
    <dxf>
      <font>
        <color auto="1"/>
      </font>
    </dxf>
    <dxf>
      <font>
        <color theme="9" tint="-0.24994659260841701"/>
      </font>
    </dxf>
    <dxf>
      <font>
        <color rgb="FFC00000"/>
      </font>
    </dxf>
    <dxf>
      <font>
        <color theme="9" tint="-0.24994659260841701"/>
      </font>
    </dxf>
    <dxf>
      <font>
        <strike/>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F$15" lockText="1" noThreeD="1"/>
</file>

<file path=xl/ctrlProps/ctrlProp3.xml><?xml version="1.0" encoding="utf-8"?>
<formControlPr xmlns="http://schemas.microsoft.com/office/spreadsheetml/2009/9/main" objectType="Radio" firstButton="1" fmlaLink="$F$12"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27</xdr:row>
          <xdr:rowOff>47625</xdr:rowOff>
        </xdr:from>
        <xdr:to>
          <xdr:col>4</xdr:col>
          <xdr:colOff>9525</xdr:colOff>
          <xdr:row>30</xdr:row>
          <xdr:rowOff>9525</xdr:rowOff>
        </xdr:to>
        <xdr:sp macro="" textlink="">
          <xdr:nvSpPr>
            <xdr:cNvPr id="8203" name="Button 11" hidden="1">
              <a:extLst>
                <a:ext uri="{63B3BB69-23CF-44E3-9099-C40C66FF867C}">
                  <a14:compatExt spid="_x0000_s82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Submit this packet!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14</xdr:row>
          <xdr:rowOff>1066800</xdr:rowOff>
        </xdr:from>
        <xdr:to>
          <xdr:col>4</xdr:col>
          <xdr:colOff>1600200</xdr:colOff>
          <xdr:row>14</xdr:row>
          <xdr:rowOff>1409700</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This submission requires no additional review outside of myself and the data coordinator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904875</xdr:rowOff>
        </xdr:from>
        <xdr:to>
          <xdr:col>4</xdr:col>
          <xdr:colOff>1628775</xdr:colOff>
          <xdr:row>11</xdr:row>
          <xdr:rowOff>1152525</xdr:rowOff>
        </xdr:to>
        <xdr:sp macro="" textlink="">
          <xdr:nvSpPr>
            <xdr:cNvPr id="1030" name="Option Button 6" hidden="1">
              <a:extLst>
                <a:ext uri="{63B3BB69-23CF-44E3-9099-C40C66FF867C}">
                  <a14:compatExt spid="_x0000_s103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I DO NOT have privacy related or other concerns about this dataset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1171575</xdr:rowOff>
        </xdr:from>
        <xdr:to>
          <xdr:col>4</xdr:col>
          <xdr:colOff>447675</xdr:colOff>
          <xdr:row>11</xdr:row>
          <xdr:rowOff>1419225</xdr:rowOff>
        </xdr:to>
        <xdr:sp macro="" textlink="">
          <xdr:nvSpPr>
            <xdr:cNvPr id="1031" name="Option Button 7" descr="I have privacy related concerns about this dataset that I would like to address through publication methods" hidden="1">
              <a:extLst>
                <a:ext uri="{63B3BB69-23CF-44E3-9099-C40C66FF867C}">
                  <a14:compatExt spid="_x0000_s103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 I have privacy related or other concerns about this dataset that I would like to address through publication methods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19</xdr:row>
          <xdr:rowOff>38100</xdr:rowOff>
        </xdr:from>
        <xdr:to>
          <xdr:col>4</xdr:col>
          <xdr:colOff>9525</xdr:colOff>
          <xdr:row>21</xdr:row>
          <xdr:rowOff>114300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Submit this packet!</a:t>
              </a:r>
            </a:p>
          </xdr:txBody>
        </xdr:sp>
        <xdr:clientData fPrintsWithSheet="0"/>
      </xdr:twoCellAnchor>
    </mc:Choice>
    <mc:Fallback/>
  </mc:AlternateContent>
</xdr:wsDr>
</file>

<file path=xl/tables/table1.xml><?xml version="1.0" encoding="utf-8"?>
<table xmlns="http://schemas.openxmlformats.org/spreadsheetml/2006/main" id="2" name="Table1" displayName="Table1" ref="A1:A11" totalsRowShown="0">
  <autoFilter ref="A1:A11"/>
  <tableColumns count="1">
    <tableColumn id="1" name="Category"/>
  </tableColumns>
  <tableStyleInfo name="TableStyleMedium9" showFirstColumn="0" showLastColumn="0" showRowStripes="1" showColumnStripes="0"/>
</table>
</file>

<file path=xl/tables/table2.xml><?xml version="1.0" encoding="utf-8"?>
<table xmlns="http://schemas.openxmlformats.org/spreadsheetml/2006/main" id="3" name="Table2" displayName="Table2" ref="B1:E55" totalsRowShown="0">
  <autoFilter ref="B1:E55"/>
  <sortState ref="B2:E54">
    <sortCondition ref="B1:B54"/>
  </sortState>
  <tableColumns count="4">
    <tableColumn id="1" name="Department"/>
    <tableColumn id="2" name="Data Coordinator"/>
    <tableColumn id="3" name="DC Email"/>
    <tableColumn id="5" name="Department Code"/>
  </tableColumns>
  <tableStyleInfo name="TableStyleMedium9" showFirstColumn="0" showLastColumn="0" showRowStripes="1" showColumnStripes="0"/>
</table>
</file>

<file path=xl/tables/table3.xml><?xml version="1.0" encoding="utf-8"?>
<table xmlns="http://schemas.openxmlformats.org/spreadsheetml/2006/main" id="5" name="Table3" displayName="Table3" ref="F1:F14" totalsRowShown="0">
  <autoFilter ref="F1:F14"/>
  <tableColumns count="1">
    <tableColumn id="1" name="Frequency data change"/>
  </tableColumns>
  <tableStyleInfo name="TableStyleMedium9" showFirstColumn="0" showLastColumn="0" showRowStripes="1" showColumnStripes="0"/>
</table>
</file>

<file path=xl/tables/table4.xml><?xml version="1.0" encoding="utf-8"?>
<table xmlns="http://schemas.openxmlformats.org/spreadsheetml/2006/main" id="6" name="Table4" displayName="Table4" ref="G1:G13" totalsRowShown="0">
  <autoFilter ref="G1:G13"/>
  <tableColumns count="1">
    <tableColumn id="1" name="Frequency publishing"/>
  </tableColumns>
  <tableStyleInfo name="TableStyleMedium9" showFirstColumn="0" showLastColumn="0" showRowStripes="1" showColumnStripes="0"/>
</table>
</file>

<file path=xl/tables/table5.xml><?xml version="1.0" encoding="utf-8"?>
<table xmlns="http://schemas.openxmlformats.org/spreadsheetml/2006/main" id="7" name="Table5" displayName="Table5" ref="H1:H4" totalsRowShown="0">
  <autoFilter ref="H1:H4"/>
  <tableColumns count="1">
    <tableColumn id="1" name="Public access level"/>
  </tableColumns>
  <tableStyleInfo name="TableStyleMedium9" showFirstColumn="0" showLastColumn="0" showRowStripes="1" showColumnStripes="0"/>
</table>
</file>

<file path=xl/tables/table6.xml><?xml version="1.0" encoding="utf-8"?>
<table xmlns="http://schemas.openxmlformats.org/spreadsheetml/2006/main" id="8" name="Table6" displayName="Table6" ref="I1:J3" totalsRowShown="0">
  <autoFilter ref="I1:J3"/>
  <tableColumns count="2">
    <tableColumn id="1" name="License/Rights"/>
    <tableColumn id="2" name="Geography included"/>
  </tableColumns>
  <tableStyleInfo name="TableStyleMedium9" showFirstColumn="0" showLastColumn="0" showRowStripes="1" showColumnStripes="0"/>
</table>
</file>

<file path=xl/tables/table7.xml><?xml version="1.0" encoding="utf-8"?>
<table xmlns="http://schemas.openxmlformats.org/spreadsheetml/2006/main" id="9" name="Table7" displayName="Table7" ref="K1:K16" totalsRowShown="0">
  <autoFilter ref="K1:K16"/>
  <tableColumns count="1">
    <tableColumn id="1" name="Geo Yes"/>
  </tableColumns>
  <tableStyleInfo name="TableStyleMedium9" showFirstColumn="0" showLastColumn="0" showRowStripes="1" showColumnStripes="0"/>
</table>
</file>

<file path=xl/tables/table8.xml><?xml version="1.0" encoding="utf-8"?>
<table xmlns="http://schemas.openxmlformats.org/spreadsheetml/2006/main" id="1" name="Table9" displayName="Table9" ref="L1:L3" totalsRowShown="0" headerRowDxfId="7">
  <autoFilter ref="L1:L3"/>
  <tableColumns count="1">
    <tableColumn id="1" name="Geo No"/>
  </tableColumns>
  <tableStyleInfo name="TableStyleMedium9" showFirstColumn="0" showLastColumn="0" showRowStripes="1" showColumnStripes="0"/>
</table>
</file>

<file path=xl/tables/table9.xml><?xml version="1.0" encoding="utf-8"?>
<table xmlns="http://schemas.openxmlformats.org/spreadsheetml/2006/main" id="10" name="Table8" displayName="Table8" ref="M1:M12" totalsRowShown="0">
  <autoFilter ref="M1:M12"/>
  <sortState ref="M2:M12">
    <sortCondition ref="M1:M12"/>
  </sortState>
  <tableColumns count="1">
    <tableColumn id="1" name="Format"/>
  </tableColumns>
  <tableStyleInfo name="TableStyleMedium9" showFirstColumn="0" showLastColumn="0" showRowStripes="1" showColumnStripes="0"/>
</table>
</file>

<file path=xl/tables/table10.xml><?xml version="1.0" encoding="utf-8"?>
<table xmlns="http://schemas.openxmlformats.org/spreadsheetml/2006/main" id="11" name="Table11" displayName="Table11" ref="N1:N3" totalsRowShown="0" headerRowDxfId="6">
  <autoFilter ref="N1:N3"/>
  <tableColumns count="1">
    <tableColumn id="1" name="Files"/>
  </tableColumns>
  <tableStyleInfo name="TableStyleMedium9" showFirstColumn="0" showLastColumn="0" showRowStripes="1" showColumnStripes="0"/>
</table>
</file>

<file path=xl/tables/table11.xml><?xml version="1.0" encoding="utf-8"?>
<table xmlns="http://schemas.openxmlformats.org/spreadsheetml/2006/main" id="12" name="Table12" displayName="Table12" ref="O1:O9" totalsRowShown="0" headerRowDxfId="5" dataDxfId="4">
  <autoFilter ref="O1:O9"/>
  <tableColumns count="1">
    <tableColumn id="1" name="Data Products" dataDxfId="3"/>
  </tableColumns>
  <tableStyleInfo name="TableStyleMedium9" showFirstColumn="0" showLastColumn="0" showRowStripes="1" showColumnStripes="0"/>
</table>
</file>

<file path=xl/tables/table12.xml><?xml version="1.0" encoding="utf-8"?>
<table xmlns="http://schemas.openxmlformats.org/spreadsheetml/2006/main" id="4" name="Table10" displayName="Table10" ref="P1:P7" totalsRowShown="0" headerRowDxfId="2" dataDxfId="1">
  <autoFilter ref="P1:P7"/>
  <tableColumns count="1">
    <tableColumn id="1" name="Types"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data.sfgov.org/City-Management-and-Ethics/Dataset-Inventory/y8fp-fbf5" TargetMode="External"/><Relationship Id="rId1" Type="http://schemas.openxmlformats.org/officeDocument/2006/relationships/hyperlink" Target="https://data.sfgov.org/City-Management-and-Ethics/Dataset-Inventory/y8fp-fbf5"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hyperlink" Target="https://docs.google.com/document/d/1xI6WJnHzHzMtwCqZfpP2xkdm1zPfDqXV1NBRAVZJc2w/edit?usp=sharing" TargetMode="External"/><Relationship Id="rId1" Type="http://schemas.openxmlformats.org/officeDocument/2006/relationships/hyperlink" Target="https://docs.google.com/document/d/1xI6WJnHzHzMtwCqZfpP2xkdm1zPfDqXV1NBRAVZJc2w/edit?pli=1"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www.datasf.org/coordinators" TargetMode="Externa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sheetPr>
  <dimension ref="A1:H27"/>
  <sheetViews>
    <sheetView showGridLines="0" tabSelected="1" workbookViewId="0">
      <selection activeCell="B2" sqref="B2:D2"/>
    </sheetView>
  </sheetViews>
  <sheetFormatPr defaultColWidth="8.85546875" defaultRowHeight="12.75" x14ac:dyDescent="0.2"/>
  <cols>
    <col min="1" max="1" width="3.42578125" customWidth="1"/>
    <col min="2" max="2" width="5.42578125" customWidth="1"/>
    <col min="3" max="3" width="44" customWidth="1"/>
    <col min="4" max="4" width="45.140625" customWidth="1"/>
    <col min="5" max="5" width="4.140625" customWidth="1"/>
    <col min="6" max="6" width="17.28515625" customWidth="1"/>
  </cols>
  <sheetData>
    <row r="1" spans="1:6" ht="44.1" customHeight="1" thickBot="1" x14ac:dyDescent="0.25">
      <c r="B1" s="132" t="s">
        <v>144</v>
      </c>
      <c r="C1" s="132"/>
      <c r="D1" s="124" t="s">
        <v>445</v>
      </c>
    </row>
    <row r="2" spans="1:6" ht="47.1" customHeight="1" thickTop="1" x14ac:dyDescent="0.2">
      <c r="B2" s="130" t="s">
        <v>143</v>
      </c>
      <c r="C2" s="130"/>
      <c r="D2" s="130"/>
    </row>
    <row r="3" spans="1:6" ht="22.5" customHeight="1" x14ac:dyDescent="0.2">
      <c r="B3" s="131" t="s">
        <v>272</v>
      </c>
      <c r="C3" s="131"/>
      <c r="D3" s="72"/>
    </row>
    <row r="4" spans="1:6" ht="127.5" customHeight="1" x14ac:dyDescent="0.2">
      <c r="B4" s="134" t="s">
        <v>302</v>
      </c>
      <c r="C4" s="134"/>
      <c r="D4" s="134"/>
      <c r="E4" s="6"/>
    </row>
    <row r="5" spans="1:6" ht="24.95" customHeight="1" x14ac:dyDescent="0.2">
      <c r="A5" s="2"/>
      <c r="B5" s="135" t="s">
        <v>138</v>
      </c>
      <c r="C5" s="135"/>
      <c r="D5" s="7"/>
      <c r="E5" s="99">
        <f t="shared" ref="E5:E10" si="0">IF(NOT(ISBLANK(D5)),3,-1)</f>
        <v>-1</v>
      </c>
    </row>
    <row r="6" spans="1:6" ht="24.95" customHeight="1" x14ac:dyDescent="0.2">
      <c r="A6" s="2"/>
      <c r="B6" s="135" t="s">
        <v>142</v>
      </c>
      <c r="C6" s="135"/>
      <c r="D6" s="8"/>
      <c r="E6" s="99">
        <f t="shared" si="0"/>
        <v>-1</v>
      </c>
    </row>
    <row r="7" spans="1:6" ht="24.95" customHeight="1" x14ac:dyDescent="0.2">
      <c r="A7" s="2"/>
      <c r="B7" s="135" t="s">
        <v>139</v>
      </c>
      <c r="C7" s="135"/>
      <c r="D7" s="7"/>
      <c r="E7" s="99">
        <f t="shared" si="0"/>
        <v>-1</v>
      </c>
    </row>
    <row r="8" spans="1:6" ht="24.95" customHeight="1" x14ac:dyDescent="0.2">
      <c r="A8" s="2"/>
      <c r="B8" s="135" t="s">
        <v>433</v>
      </c>
      <c r="C8" s="135"/>
      <c r="D8" s="7"/>
      <c r="E8" s="99">
        <f t="shared" si="0"/>
        <v>-1</v>
      </c>
    </row>
    <row r="9" spans="1:6" ht="24.95" customHeight="1" x14ac:dyDescent="0.2">
      <c r="A9" s="2"/>
      <c r="B9" s="136" t="s">
        <v>434</v>
      </c>
      <c r="C9" s="137"/>
      <c r="D9" s="7"/>
      <c r="E9" s="99">
        <f t="shared" si="0"/>
        <v>-1</v>
      </c>
    </row>
    <row r="10" spans="1:6" ht="24.95" customHeight="1" x14ac:dyDescent="0.2">
      <c r="A10" s="2"/>
      <c r="B10" s="121"/>
      <c r="C10" s="122" t="s">
        <v>439</v>
      </c>
      <c r="D10" s="7"/>
      <c r="E10" s="99">
        <f t="shared" si="0"/>
        <v>-1</v>
      </c>
      <c r="F10" s="123" t="s">
        <v>440</v>
      </c>
    </row>
    <row r="11" spans="1:6" ht="24.95" customHeight="1" x14ac:dyDescent="0.2">
      <c r="A11" s="2"/>
      <c r="B11" s="136" t="s">
        <v>438</v>
      </c>
      <c r="C11" s="137"/>
      <c r="D11" s="7" t="str">
        <f>IF(D10="No","Not in Inventory","")</f>
        <v/>
      </c>
      <c r="E11" s="99">
        <f>IF(D11&lt;&gt;"",3,-1)</f>
        <v>-1</v>
      </c>
      <c r="F11" s="123" t="s">
        <v>437</v>
      </c>
    </row>
    <row r="12" spans="1:6" ht="24.95" customHeight="1" x14ac:dyDescent="0.2">
      <c r="A12" s="4"/>
      <c r="B12" s="135" t="s">
        <v>140</v>
      </c>
      <c r="C12" s="135"/>
      <c r="D12" s="9"/>
      <c r="E12" s="99">
        <f>IF(NOT(ISBLANK(D12)),3,-1)</f>
        <v>-1</v>
      </c>
    </row>
    <row r="13" spans="1:6" ht="24.95" customHeight="1" x14ac:dyDescent="0.2">
      <c r="A13" s="4"/>
      <c r="B13" s="66"/>
      <c r="C13" s="66"/>
      <c r="D13" s="67"/>
      <c r="E13" s="65"/>
    </row>
    <row r="14" spans="1:6" ht="21.75" customHeight="1" x14ac:dyDescent="0.2">
      <c r="A14" s="4"/>
      <c r="B14" s="66"/>
      <c r="C14" s="73" t="s">
        <v>273</v>
      </c>
      <c r="D14" s="74" t="str">
        <f>IFERROR(INDEX(Validations!C:C,MATCH('1 - Instructions'!D12,Validations!B:B,0),1),"unknown")</f>
        <v>unknown</v>
      </c>
      <c r="E14" s="69"/>
    </row>
    <row r="15" spans="1:6" ht="24.95" customHeight="1" x14ac:dyDescent="0.2">
      <c r="A15" s="4"/>
      <c r="B15" s="66"/>
      <c r="C15" s="73" t="s">
        <v>274</v>
      </c>
      <c r="D15" s="74" t="str">
        <f>IFERROR(INDEX(Validations!D:D,MATCH('1 - Instructions'!D12,Validations!B:B,0),1),"unknown")</f>
        <v>unknown</v>
      </c>
      <c r="E15" s="69"/>
    </row>
    <row r="16" spans="1:6" ht="18" customHeight="1" x14ac:dyDescent="0.2">
      <c r="A16" s="4"/>
      <c r="B16" s="5"/>
      <c r="C16" s="5"/>
      <c r="D16" s="4"/>
      <c r="E16" s="6"/>
    </row>
    <row r="17" spans="1:8" ht="53.25" customHeight="1" x14ac:dyDescent="0.2">
      <c r="A17" s="4"/>
      <c r="B17" s="133" t="s">
        <v>275</v>
      </c>
      <c r="C17" s="133"/>
      <c r="D17" s="133"/>
      <c r="E17" s="6"/>
    </row>
    <row r="18" spans="1:8" ht="23.25" customHeight="1" x14ac:dyDescent="0.2">
      <c r="A18" s="4"/>
      <c r="B18" s="126" t="s">
        <v>309</v>
      </c>
      <c r="C18" s="126"/>
      <c r="D18" s="126"/>
      <c r="E18" s="6"/>
    </row>
    <row r="19" spans="1:8" ht="27.75" customHeight="1" x14ac:dyDescent="0.2">
      <c r="A19" s="4"/>
      <c r="B19" s="127">
        <f>SUM(AutomationCount,DictionaryCount,InternalCount,MetadataCount)/SUM(AutomationEntry,DictionaryEntry,InternalEntry,MetadataEntry)</f>
        <v>0</v>
      </c>
      <c r="C19" s="128"/>
      <c r="D19" s="129"/>
      <c r="E19" s="6"/>
    </row>
    <row r="20" spans="1:8" ht="30.75" customHeight="1" x14ac:dyDescent="0.2">
      <c r="A20" s="4"/>
      <c r="B20" s="125" t="s">
        <v>304</v>
      </c>
      <c r="C20" s="125"/>
      <c r="D20" s="125"/>
      <c r="E20" s="6"/>
    </row>
    <row r="21" spans="1:8" x14ac:dyDescent="0.2">
      <c r="A21" s="3"/>
      <c r="B21" s="32" t="s">
        <v>132</v>
      </c>
      <c r="C21" s="37" t="s">
        <v>135</v>
      </c>
      <c r="D21" s="37" t="s">
        <v>133</v>
      </c>
      <c r="F21" s="6"/>
    </row>
    <row r="22" spans="1:8" ht="33.75" customHeight="1" x14ac:dyDescent="0.2">
      <c r="B22" s="33">
        <v>1</v>
      </c>
      <c r="C22" s="36" t="s">
        <v>130</v>
      </c>
      <c r="D22" s="34" t="s">
        <v>131</v>
      </c>
      <c r="E22" s="40">
        <f>InternalCount/InternalEntry</f>
        <v>0</v>
      </c>
      <c r="F22" s="63" t="str">
        <f>TEXT(E22,"0% ""Complete""")</f>
        <v>0% Complete</v>
      </c>
      <c r="G22" s="64"/>
      <c r="H22" s="38"/>
    </row>
    <row r="23" spans="1:8" ht="33.75" customHeight="1" x14ac:dyDescent="0.2">
      <c r="B23" s="33">
        <v>2</v>
      </c>
      <c r="C23" s="36" t="s">
        <v>134</v>
      </c>
      <c r="D23" s="35" t="s">
        <v>163</v>
      </c>
      <c r="E23" s="40">
        <f>MetadataCount/MetadataEntry</f>
        <v>0</v>
      </c>
      <c r="F23" s="63" t="str">
        <f>TEXT(E23,"0% ""Complete""")</f>
        <v>0% Complete</v>
      </c>
      <c r="G23" s="63"/>
    </row>
    <row r="24" spans="1:8" ht="33" customHeight="1" x14ac:dyDescent="0.2">
      <c r="B24" s="33">
        <v>3</v>
      </c>
      <c r="C24" s="36" t="s">
        <v>402</v>
      </c>
      <c r="D24" s="35" t="s">
        <v>447</v>
      </c>
      <c r="E24" s="40">
        <f>DictionaryCount/DictionaryEntry</f>
        <v>0</v>
      </c>
      <c r="F24" s="63" t="str">
        <f>TEXT(E24,"0% ""Complete""")</f>
        <v>0% Complete</v>
      </c>
      <c r="G24" s="63"/>
      <c r="H24" s="38"/>
    </row>
    <row r="25" spans="1:8" ht="35.25" customHeight="1" x14ac:dyDescent="0.2">
      <c r="B25" s="33">
        <v>4</v>
      </c>
      <c r="C25" s="36" t="s">
        <v>136</v>
      </c>
      <c r="D25" s="35" t="s">
        <v>137</v>
      </c>
      <c r="E25" s="40">
        <f>AutomationCount/AutomationEntry</f>
        <v>0</v>
      </c>
      <c r="F25" s="63" t="str">
        <f>TEXT(E25,"0% ""Complete""")</f>
        <v>0% Complete</v>
      </c>
    </row>
    <row r="26" spans="1:8" ht="62.25" customHeight="1" x14ac:dyDescent="0.2">
      <c r="B26" s="33">
        <v>5</v>
      </c>
      <c r="C26" s="62" t="s">
        <v>266</v>
      </c>
      <c r="D26" s="35" t="s">
        <v>141</v>
      </c>
    </row>
    <row r="27" spans="1:8" ht="53.25" hidden="1" customHeight="1" x14ac:dyDescent="0.2"/>
  </sheetData>
  <mergeCells count="15">
    <mergeCell ref="B1:C1"/>
    <mergeCell ref="B17:D17"/>
    <mergeCell ref="B4:D4"/>
    <mergeCell ref="B5:C5"/>
    <mergeCell ref="B7:C7"/>
    <mergeCell ref="B12:C12"/>
    <mergeCell ref="B6:C6"/>
    <mergeCell ref="B8:C8"/>
    <mergeCell ref="B9:C9"/>
    <mergeCell ref="B11:C11"/>
    <mergeCell ref="B20:D20"/>
    <mergeCell ref="B18:D18"/>
    <mergeCell ref="B19:D19"/>
    <mergeCell ref="B2:D2"/>
    <mergeCell ref="B3:C3"/>
  </mergeCells>
  <conditionalFormatting sqref="E5:E15">
    <cfRule type="iconSet" priority="17">
      <iconSet iconSet="3Symbols2" showValue="0">
        <cfvo type="percent" val="0"/>
        <cfvo type="num" val="0"/>
        <cfvo type="num" val="3"/>
      </iconSet>
    </cfRule>
  </conditionalFormatting>
  <conditionalFormatting sqref="F23:G23">
    <cfRule type="colorScale" priority="8">
      <colorScale>
        <cfvo type="percent" val="$E$23"/>
        <cfvo type="num" val="$E$23"/>
        <color theme="0"/>
        <color theme="4" tint="-0.499984740745262"/>
      </colorScale>
    </cfRule>
  </conditionalFormatting>
  <conditionalFormatting sqref="E22">
    <cfRule type="iconSet" priority="12">
      <iconSet iconSet="3Symbols2" showValue="0">
        <cfvo type="percent" val="0"/>
        <cfvo type="num" val="0.1"/>
        <cfvo type="num" val="1"/>
      </iconSet>
    </cfRule>
  </conditionalFormatting>
  <conditionalFormatting sqref="E23">
    <cfRule type="iconSet" priority="11">
      <iconSet iconSet="3Symbols2" showValue="0">
        <cfvo type="percent" val="0"/>
        <cfvo type="num" val="0.1"/>
        <cfvo type="num" val="1"/>
      </iconSet>
    </cfRule>
  </conditionalFormatting>
  <conditionalFormatting sqref="B22:D26">
    <cfRule type="expression" dxfId="24" priority="10">
      <formula>$E22=1</formula>
    </cfRule>
  </conditionalFormatting>
  <conditionalFormatting sqref="F24:G24">
    <cfRule type="dataBar" priority="9">
      <dataBar showValue="0">
        <cfvo type="num" val="0"/>
        <cfvo type="num" val="1"/>
        <color rgb="FF638EC6"/>
      </dataBar>
      <extLst>
        <ext xmlns:x14="http://schemas.microsoft.com/office/spreadsheetml/2009/9/main" uri="{B025F937-C7B1-47D3-B67F-A62EFF666E3E}">
          <x14:id>{C3859C26-752F-4ACE-BDA2-87A2ED3CB56C}</x14:id>
        </ext>
      </extLst>
    </cfRule>
  </conditionalFormatting>
  <conditionalFormatting sqref="E24">
    <cfRule type="iconSet" priority="6">
      <iconSet iconSet="3Symbols2" showValue="0">
        <cfvo type="percent" val="0"/>
        <cfvo type="num" val="0.1"/>
        <cfvo type="num" val="1"/>
      </iconSet>
    </cfRule>
  </conditionalFormatting>
  <conditionalFormatting sqref="E25">
    <cfRule type="iconSet" priority="3">
      <iconSet iconSet="3Symbols2" showValue="0">
        <cfvo type="percent" val="0"/>
        <cfvo type="num" val="0.1"/>
        <cfvo type="num" val="1"/>
      </iconSet>
    </cfRule>
  </conditionalFormatting>
  <conditionalFormatting sqref="F25">
    <cfRule type="dataBar" priority="2">
      <dataBar showValue="0">
        <cfvo type="num" val="0"/>
        <cfvo type="num" val="1"/>
        <color rgb="FF638EC6"/>
      </dataBar>
      <extLst>
        <ext xmlns:x14="http://schemas.microsoft.com/office/spreadsheetml/2009/9/main" uri="{B025F937-C7B1-47D3-B67F-A62EFF666E3E}">
          <x14:id>{5B3ED816-AF93-4940-816D-90574C71BDF7}</x14:id>
        </ext>
      </extLst>
    </cfRule>
  </conditionalFormatting>
  <conditionalFormatting sqref="B19:D19">
    <cfRule type="dataBar" priority="1">
      <dataBar>
        <cfvo type="num" val="0"/>
        <cfvo type="num" val="1"/>
        <color rgb="FF008AEF"/>
      </dataBar>
      <extLst>
        <ext xmlns:x14="http://schemas.microsoft.com/office/spreadsheetml/2009/9/main" uri="{B025F937-C7B1-47D3-B67F-A62EFF666E3E}">
          <x14:id>{ADB19C22-A8DD-44D9-A7A7-754D98A96BCF}</x14:id>
        </ext>
      </extLst>
    </cfRule>
  </conditionalFormatting>
  <conditionalFormatting sqref="F22">
    <cfRule type="colorScale" priority="20">
      <colorScale>
        <cfvo type="percent" val="$E$23"/>
        <cfvo type="num" val="$E$23"/>
        <color theme="0"/>
        <color theme="4" tint="-0.499984740745262"/>
      </colorScale>
    </cfRule>
  </conditionalFormatting>
  <dataValidations count="7">
    <dataValidation allowBlank="1" showInputMessage="1" showErrorMessage="1" promptTitle="Enter your name here" prompt="First and last name please." sqref="D5:D6"/>
    <dataValidation type="list" allowBlank="1" showInputMessage="1" showErrorMessage="1" promptTitle="What's a steward?" prompt="Data Stewards are individuals in charge of individual databases, datasets, or information systems. In general, a data steward has business knowledge of the data and can answer questions about the data itself." sqref="D7">
      <formula1>"Yes,No,Unsure"</formula1>
    </dataValidation>
    <dataValidation type="list" allowBlank="1" showInputMessage="1" showErrorMessage="1" promptTitle="Select a department" prompt="Please use the dropdown to select a department from the list." sqref="D12">
      <formula1>Department</formula1>
    </dataValidation>
    <dataValidation type="list" allowBlank="1" showInputMessage="1" showErrorMessage="1" promptTitle="What are the publisher tools?" prompt="The data catalog at http://data.sfgov.org has tools available to data publishers to manipulate data once it's in the catalog. If you aren't familiar, indicate that here so we can follow up with the appropriate resources." sqref="D8">
      <formula1>"Yes,No"</formula1>
    </dataValidation>
    <dataValidation type="list" allowBlank="1" showInputMessage="1" showErrorMessage="1" promptTitle="What's SF OpenData?" prompt="The data catalog at http://data.sfgov.org is called SF OpenData. You must have an account there to publish data http://data.sfgov.org/signup" sqref="D9">
      <formula1>"Yes,No"</formula1>
    </dataValidation>
    <dataValidation type="list" allowBlank="1" showInputMessage="1" showErrorMessage="1" promptTitle="What's the dataset inventory?" prompt="The dataset inventory is a list of datasets maintained by departments at the City. Each department has completed the inventory. If your data is not in the inventory, that's okay, we'll just add it before publishing. Click lookup dataset in inventory." sqref="D10">
      <formula1>"Yes,No"</formula1>
    </dataValidation>
    <dataValidation allowBlank="1" showInputMessage="1" showErrorMessage="1" promptTitle="What's the inventory ID?" prompt="The inventory ID is the unique ID in the first column of the dataset inventory. You can copy and paste that here. We use this to register that dataset as published later on." sqref="D11"/>
  </dataValidations>
  <hyperlinks>
    <hyperlink ref="C22" location="'2 - Internal Review'!A1" display="2 - Internal Review"/>
    <hyperlink ref="C23" location="'3 - Metadata'!A1" display="3 - Metadata"/>
    <hyperlink ref="C24" location="'4 - Data Dictionary and Related'!A1" display="4 - Data Dictionary and Related"/>
    <hyperlink ref="C25" location="'5 - Automation Questionnaire'!A1" display="5 - Automation Questionnaire"/>
    <hyperlink ref="B20:D20" location="'2 - Internal Review'!A1" display="Get Started"/>
    <hyperlink ref="F11" r:id="rId1"/>
    <hyperlink ref="F10" r:id="rId2"/>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203" r:id="rId6" name="Button 11">
              <controlPr defaultSize="0" print="0" autoFill="0" autoPict="0" macro="[0]!Save_Copies">
                <anchor moveWithCells="1" sizeWithCells="1">
                  <from>
                    <xdr:col>1</xdr:col>
                    <xdr:colOff>0</xdr:colOff>
                    <xdr:row>27</xdr:row>
                    <xdr:rowOff>47625</xdr:rowOff>
                  </from>
                  <to>
                    <xdr:col>4</xdr:col>
                    <xdr:colOff>9525</xdr:colOff>
                    <xdr:row>30</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3859C26-752F-4ACE-BDA2-87A2ED3CB56C}">
            <x14:dataBar minLength="0" maxLength="100" gradient="0">
              <x14:cfvo type="num">
                <xm:f>0</xm:f>
              </x14:cfvo>
              <x14:cfvo type="num">
                <xm:f>1</xm:f>
              </x14:cfvo>
              <x14:negativeFillColor rgb="FFFF0000"/>
              <x14:axisColor rgb="FF000000"/>
            </x14:dataBar>
          </x14:cfRule>
          <xm:sqref>F24:G24</xm:sqref>
        </x14:conditionalFormatting>
        <x14:conditionalFormatting xmlns:xm="http://schemas.microsoft.com/office/excel/2006/main">
          <x14:cfRule type="dataBar" id="{5B3ED816-AF93-4940-816D-90574C71BDF7}">
            <x14:dataBar minLength="0" maxLength="100" gradient="0">
              <x14:cfvo type="num">
                <xm:f>0</xm:f>
              </x14:cfvo>
              <x14:cfvo type="num">
                <xm:f>1</xm:f>
              </x14:cfvo>
              <x14:negativeFillColor rgb="FFFF0000"/>
              <x14:axisColor rgb="FF000000"/>
            </x14:dataBar>
          </x14:cfRule>
          <xm:sqref>F25</xm:sqref>
        </x14:conditionalFormatting>
        <x14:conditionalFormatting xmlns:xm="http://schemas.microsoft.com/office/excel/2006/main">
          <x14:cfRule type="dataBar" id="{ADB19C22-A8DD-44D9-A7A7-754D98A96BCF}">
            <x14:dataBar minLength="0" maxLength="100" gradient="0">
              <x14:cfvo type="num">
                <xm:f>0</xm:f>
              </x14:cfvo>
              <x14:cfvo type="num">
                <xm:f>1</xm:f>
              </x14:cfvo>
              <x14:negativeFillColor rgb="FFFF0000"/>
              <x14:axisColor rgb="FF000000"/>
            </x14:dataBar>
          </x14:cfRule>
          <xm:sqref>B19:D19</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8"/>
  </sheetPr>
  <dimension ref="B1:I60"/>
  <sheetViews>
    <sheetView showGridLines="0" workbookViewId="0">
      <selection activeCell="B8" sqref="B8"/>
    </sheetView>
  </sheetViews>
  <sheetFormatPr defaultColWidth="8.85546875" defaultRowHeight="12.75" x14ac:dyDescent="0.2"/>
  <cols>
    <col min="1" max="1" width="3.28515625" customWidth="1"/>
    <col min="2" max="2" width="48.28515625" customWidth="1"/>
    <col min="3" max="3" width="8.42578125" customWidth="1"/>
    <col min="4" max="4" width="18" customWidth="1"/>
    <col min="5" max="5" width="25.42578125" customWidth="1"/>
    <col min="6" max="6" width="7.85546875" hidden="1" customWidth="1"/>
    <col min="9" max="9" width="23.42578125" customWidth="1"/>
  </cols>
  <sheetData>
    <row r="1" spans="2:7" ht="44.1" customHeight="1" thickBot="1" x14ac:dyDescent="0.25">
      <c r="B1" s="49" t="s">
        <v>144</v>
      </c>
      <c r="C1" s="49"/>
      <c r="D1" s="138" t="s">
        <v>149</v>
      </c>
      <c r="E1" s="138"/>
    </row>
    <row r="2" spans="2:7" ht="47.1" customHeight="1" thickTop="1" x14ac:dyDescent="0.2">
      <c r="B2" s="151" t="s">
        <v>150</v>
      </c>
      <c r="C2" s="151"/>
      <c r="D2" s="151"/>
      <c r="E2" s="151"/>
    </row>
    <row r="3" spans="2:7" ht="18.75" customHeight="1" x14ac:dyDescent="0.2">
      <c r="B3" s="159" t="str">
        <f>IF(InternalCount/InternalEntry=1,"Step Complete","Step Incomplete")</f>
        <v>Step Incomplete</v>
      </c>
      <c r="C3" s="159"/>
      <c r="D3" s="159"/>
      <c r="E3" s="159"/>
    </row>
    <row r="4" spans="2:7" ht="23.25" customHeight="1" x14ac:dyDescent="0.2">
      <c r="B4" s="156">
        <f>InternalCount/InternalEntry</f>
        <v>0</v>
      </c>
      <c r="C4" s="157"/>
      <c r="D4" s="157"/>
      <c r="E4" s="158"/>
    </row>
    <row r="5" spans="2:7" ht="22.5" customHeight="1" x14ac:dyDescent="0.2">
      <c r="B5" s="94" t="s">
        <v>299</v>
      </c>
      <c r="C5" s="83"/>
      <c r="D5" s="83"/>
      <c r="E5" s="93" t="s">
        <v>300</v>
      </c>
    </row>
    <row r="6" spans="2:7" ht="79.5" customHeight="1" x14ac:dyDescent="0.2">
      <c r="B6" s="152" t="s">
        <v>267</v>
      </c>
      <c r="C6" s="153"/>
      <c r="D6" s="153"/>
      <c r="E6" s="153"/>
    </row>
    <row r="7" spans="2:7" x14ac:dyDescent="0.2">
      <c r="B7" s="60" t="s">
        <v>151</v>
      </c>
      <c r="C7" s="53">
        <f>IF(LEN(B8)&gt;5,2,1)</f>
        <v>1</v>
      </c>
      <c r="D7" s="54" t="s">
        <v>161</v>
      </c>
      <c r="E7" s="55"/>
      <c r="G7" s="53">
        <f>IF(LEN(D8)&gt;=50,2,1)</f>
        <v>1</v>
      </c>
    </row>
    <row r="8" spans="2:7" ht="30" customHeight="1" x14ac:dyDescent="0.2">
      <c r="B8" s="107"/>
      <c r="D8" s="141"/>
      <c r="E8" s="142"/>
    </row>
    <row r="9" spans="2:7" ht="63.75" customHeight="1" x14ac:dyDescent="0.2">
      <c r="C9" s="6"/>
      <c r="D9" s="143"/>
      <c r="E9" s="144"/>
    </row>
    <row r="10" spans="2:7" ht="11.25" customHeight="1" x14ac:dyDescent="0.2">
      <c r="C10" s="6"/>
      <c r="D10" s="4"/>
      <c r="E10" s="56"/>
    </row>
    <row r="11" spans="2:7" x14ac:dyDescent="0.2">
      <c r="B11" s="147" t="s">
        <v>162</v>
      </c>
      <c r="C11" s="148"/>
      <c r="D11" s="148"/>
      <c r="E11" s="149"/>
      <c r="G11" s="53">
        <f>IF(OR(F12="",F12&gt;0),2,1)</f>
        <v>1</v>
      </c>
    </row>
    <row r="12" spans="2:7" ht="118.5" customHeight="1" x14ac:dyDescent="0.2">
      <c r="B12" s="145" t="s">
        <v>268</v>
      </c>
      <c r="C12" s="146"/>
      <c r="D12" s="146"/>
      <c r="E12" s="146"/>
      <c r="F12">
        <v>0</v>
      </c>
    </row>
    <row r="13" spans="2:7" ht="17.25" customHeight="1" x14ac:dyDescent="0.2"/>
    <row r="14" spans="2:7" x14ac:dyDescent="0.2">
      <c r="B14" s="32" t="s">
        <v>155</v>
      </c>
      <c r="C14" s="53">
        <f>IF(COUNTBLANK(B16:B19)=0,2,1)</f>
        <v>1</v>
      </c>
      <c r="D14" s="58" t="s">
        <v>152</v>
      </c>
      <c r="E14" s="55"/>
      <c r="G14" s="53">
        <f>IF(F15=TRUE,2,IF(COUNTBLANK(E17:E19)=0,2,1))</f>
        <v>1</v>
      </c>
    </row>
    <row r="15" spans="2:7" ht="174" customHeight="1" x14ac:dyDescent="0.2">
      <c r="B15" s="57" t="s">
        <v>376</v>
      </c>
      <c r="D15" s="145" t="s">
        <v>374</v>
      </c>
      <c r="E15" s="150"/>
      <c r="F15" s="48" t="b">
        <v>0</v>
      </c>
    </row>
    <row r="16" spans="2:7" ht="15.95" customHeight="1" x14ac:dyDescent="0.2">
      <c r="B16" s="61"/>
      <c r="D16" s="154" t="s">
        <v>156</v>
      </c>
      <c r="E16" s="155"/>
    </row>
    <row r="17" spans="2:9" ht="15.95" customHeight="1" x14ac:dyDescent="0.2">
      <c r="B17" s="43"/>
      <c r="D17" s="44" t="s">
        <v>153</v>
      </c>
      <c r="E17" s="45"/>
      <c r="I17" s="50" t="s">
        <v>164</v>
      </c>
    </row>
    <row r="18" spans="2:9" ht="15.95" customHeight="1" x14ac:dyDescent="0.2">
      <c r="B18" s="43"/>
      <c r="D18" s="52" t="s">
        <v>160</v>
      </c>
      <c r="E18" s="47"/>
    </row>
    <row r="19" spans="2:9" ht="15.95" customHeight="1" x14ac:dyDescent="0.2">
      <c r="B19" s="43"/>
      <c r="D19" s="46" t="s">
        <v>154</v>
      </c>
      <c r="E19" s="47"/>
    </row>
    <row r="20" spans="2:9" ht="15.95" customHeight="1" x14ac:dyDescent="0.2">
      <c r="B20" s="43"/>
    </row>
    <row r="21" spans="2:9" ht="15.95" customHeight="1" x14ac:dyDescent="0.2">
      <c r="B21" s="43"/>
      <c r="D21" s="139" t="s">
        <v>157</v>
      </c>
      <c r="E21" s="140"/>
    </row>
    <row r="22" spans="2:9" ht="15.95" customHeight="1" x14ac:dyDescent="0.2">
      <c r="B22" s="43"/>
      <c r="D22" s="44" t="s">
        <v>153</v>
      </c>
      <c r="E22" s="45"/>
    </row>
    <row r="23" spans="2:9" ht="15.95" customHeight="1" x14ac:dyDescent="0.2">
      <c r="B23" s="43"/>
      <c r="D23" s="52" t="s">
        <v>160</v>
      </c>
      <c r="E23" s="47"/>
    </row>
    <row r="24" spans="2:9" ht="15.95" customHeight="1" x14ac:dyDescent="0.2">
      <c r="B24" s="43"/>
      <c r="D24" s="46" t="s">
        <v>154</v>
      </c>
      <c r="E24" s="47"/>
    </row>
    <row r="25" spans="2:9" ht="15.95" customHeight="1" x14ac:dyDescent="0.2">
      <c r="B25" s="43"/>
    </row>
    <row r="26" spans="2:9" ht="15.95" customHeight="1" x14ac:dyDescent="0.2">
      <c r="B26" s="43"/>
      <c r="D26" s="139" t="s">
        <v>158</v>
      </c>
      <c r="E26" s="140"/>
    </row>
    <row r="27" spans="2:9" ht="15.95" customHeight="1" x14ac:dyDescent="0.2">
      <c r="B27" s="43"/>
      <c r="D27" s="44" t="s">
        <v>153</v>
      </c>
      <c r="E27" s="45"/>
    </row>
    <row r="28" spans="2:9" ht="15.95" customHeight="1" x14ac:dyDescent="0.2">
      <c r="B28" s="43"/>
      <c r="D28" s="52" t="s">
        <v>160</v>
      </c>
      <c r="E28" s="47"/>
    </row>
    <row r="29" spans="2:9" ht="15.95" customHeight="1" x14ac:dyDescent="0.2">
      <c r="B29" s="43"/>
      <c r="D29" s="46" t="s">
        <v>154</v>
      </c>
      <c r="E29" s="47"/>
    </row>
    <row r="30" spans="2:9" ht="15.95" customHeight="1" x14ac:dyDescent="0.2">
      <c r="B30" s="43"/>
    </row>
    <row r="31" spans="2:9" ht="15.95" customHeight="1" x14ac:dyDescent="0.2">
      <c r="B31" s="43"/>
      <c r="D31" s="139" t="s">
        <v>159</v>
      </c>
      <c r="E31" s="140"/>
    </row>
    <row r="32" spans="2:9" ht="15.95" customHeight="1" x14ac:dyDescent="0.2">
      <c r="B32" s="43"/>
      <c r="D32" s="44" t="s">
        <v>153</v>
      </c>
      <c r="E32" s="45"/>
    </row>
    <row r="33" spans="2:5" ht="15.95" customHeight="1" x14ac:dyDescent="0.2">
      <c r="B33" s="61"/>
      <c r="D33" s="52" t="s">
        <v>160</v>
      </c>
      <c r="E33" s="47"/>
    </row>
    <row r="34" spans="2:5" ht="15.95" customHeight="1" x14ac:dyDescent="0.2">
      <c r="B34" s="43"/>
      <c r="D34" s="46" t="s">
        <v>154</v>
      </c>
      <c r="E34" s="51"/>
    </row>
    <row r="35" spans="2:5" ht="15.95" customHeight="1" x14ac:dyDescent="0.2">
      <c r="B35" s="43"/>
      <c r="E35" s="106"/>
    </row>
    <row r="36" spans="2:5" ht="15.95" customHeight="1" x14ac:dyDescent="0.2">
      <c r="B36" s="43"/>
    </row>
    <row r="37" spans="2:5" ht="15.95" customHeight="1" x14ac:dyDescent="0.2">
      <c r="B37" s="43"/>
    </row>
    <row r="38" spans="2:5" ht="15.95" customHeight="1" x14ac:dyDescent="0.2">
      <c r="B38" s="43"/>
    </row>
    <row r="39" spans="2:5" ht="15.95" customHeight="1" x14ac:dyDescent="0.2">
      <c r="B39" s="43"/>
    </row>
    <row r="40" spans="2:5" ht="15.95" customHeight="1" x14ac:dyDescent="0.2">
      <c r="B40" s="43"/>
    </row>
    <row r="41" spans="2:5" ht="15.95" customHeight="1" x14ac:dyDescent="0.2">
      <c r="B41" s="43"/>
    </row>
    <row r="42" spans="2:5" ht="15.95" customHeight="1" x14ac:dyDescent="0.2">
      <c r="B42" s="43"/>
    </row>
    <row r="43" spans="2:5" ht="15.95" customHeight="1" x14ac:dyDescent="0.2">
      <c r="B43" s="43"/>
    </row>
    <row r="44" spans="2:5" ht="15.95" customHeight="1" x14ac:dyDescent="0.2">
      <c r="B44" s="43"/>
    </row>
    <row r="45" spans="2:5" ht="15.95" customHeight="1" x14ac:dyDescent="0.2">
      <c r="B45" s="43"/>
    </row>
    <row r="46" spans="2:5" ht="15.95" customHeight="1" x14ac:dyDescent="0.2">
      <c r="B46" s="43"/>
    </row>
    <row r="47" spans="2:5" ht="15.95" customHeight="1" x14ac:dyDescent="0.2">
      <c r="B47" s="43"/>
    </row>
    <row r="48" spans="2:5" ht="15.95" customHeight="1" x14ac:dyDescent="0.2">
      <c r="B48" s="43"/>
    </row>
    <row r="49" spans="2:2" ht="15.95" customHeight="1" x14ac:dyDescent="0.2">
      <c r="B49" s="43"/>
    </row>
    <row r="50" spans="2:2" ht="15.95" customHeight="1" x14ac:dyDescent="0.2">
      <c r="B50" s="43"/>
    </row>
    <row r="51" spans="2:2" ht="15.95" customHeight="1" x14ac:dyDescent="0.2">
      <c r="B51" s="43"/>
    </row>
    <row r="52" spans="2:2" ht="15.95" customHeight="1" x14ac:dyDescent="0.2">
      <c r="B52" s="43"/>
    </row>
    <row r="53" spans="2:2" ht="15.95" customHeight="1" x14ac:dyDescent="0.2">
      <c r="B53" s="43"/>
    </row>
    <row r="54" spans="2:2" ht="15.95" customHeight="1" x14ac:dyDescent="0.2">
      <c r="B54" s="43"/>
    </row>
    <row r="55" spans="2:2" ht="15.95" customHeight="1" x14ac:dyDescent="0.2"/>
    <row r="56" spans="2:2" ht="15.95" customHeight="1" x14ac:dyDescent="0.2"/>
    <row r="57" spans="2:2" ht="15.95" customHeight="1" x14ac:dyDescent="0.2"/>
    <row r="58" spans="2:2" ht="15.95" customHeight="1" x14ac:dyDescent="0.2"/>
    <row r="59" spans="2:2" ht="15.95" customHeight="1" x14ac:dyDescent="0.2"/>
    <row r="60" spans="2:2" ht="15.95" customHeight="1" x14ac:dyDescent="0.2"/>
  </sheetData>
  <mergeCells count="13">
    <mergeCell ref="D1:E1"/>
    <mergeCell ref="D26:E26"/>
    <mergeCell ref="D31:E31"/>
    <mergeCell ref="D8:E9"/>
    <mergeCell ref="B12:E12"/>
    <mergeCell ref="B11:E11"/>
    <mergeCell ref="D21:E21"/>
    <mergeCell ref="D15:E15"/>
    <mergeCell ref="B2:E2"/>
    <mergeCell ref="B6:E6"/>
    <mergeCell ref="D16:E16"/>
    <mergeCell ref="B4:E4"/>
    <mergeCell ref="B3:E3"/>
  </mergeCells>
  <phoneticPr fontId="14" type="noConversion"/>
  <conditionalFormatting sqref="B4:E4">
    <cfRule type="dataBar" priority="5">
      <dataBar>
        <cfvo type="num" val="0"/>
        <cfvo type="num" val="1"/>
        <color rgb="FF008AEF"/>
      </dataBar>
      <extLst>
        <ext xmlns:x14="http://schemas.microsoft.com/office/spreadsheetml/2009/9/main" uri="{B025F937-C7B1-47D3-B67F-A62EFF666E3E}">
          <x14:id>{3E55F9BF-3A78-4D34-BC36-4908181DAA6F}</x14:id>
        </ext>
      </extLst>
    </cfRule>
  </conditionalFormatting>
  <conditionalFormatting sqref="B3:E3">
    <cfRule type="containsText" dxfId="23" priority="3" operator="containsText" text="Step Complete">
      <formula>NOT(ISERROR(SEARCH("Step Complete",B3)))</formula>
    </cfRule>
    <cfRule type="containsText" dxfId="22" priority="4" operator="containsText" text="Step Incomplete">
      <formula>NOT(ISERROR(SEARCH("Step Incomplete",B3)))</formula>
    </cfRule>
  </conditionalFormatting>
  <conditionalFormatting sqref="E5">
    <cfRule type="expression" dxfId="21" priority="1">
      <formula>$B$3="Step Complete"</formula>
    </cfRule>
    <cfRule type="expression" dxfId="20" priority="2">
      <formula>$B$3="Step Incomplete"</formula>
    </cfRule>
  </conditionalFormatting>
  <hyperlinks>
    <hyperlink ref="D1" location="'1 - Instructions'!A1" display="Return to Instructions"/>
    <hyperlink ref="E5" location="'3 - Metadata'!A1" display="next &gt;&gt;"/>
    <hyperlink ref="B5" location="'1 - Instructions'!A1" display="&lt;&lt; prev"/>
  </hyperlink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Check Box 5">
              <controlPr defaultSize="0" autoFill="0" autoLine="0" autoPict="0">
                <anchor moveWithCells="1">
                  <from>
                    <xdr:col>3</xdr:col>
                    <xdr:colOff>28575</xdr:colOff>
                    <xdr:row>14</xdr:row>
                    <xdr:rowOff>1066800</xdr:rowOff>
                  </from>
                  <to>
                    <xdr:col>4</xdr:col>
                    <xdr:colOff>1600200</xdr:colOff>
                    <xdr:row>14</xdr:row>
                    <xdr:rowOff>1409700</xdr:rowOff>
                  </to>
                </anchor>
              </controlPr>
            </control>
          </mc:Choice>
        </mc:AlternateContent>
        <mc:AlternateContent xmlns:mc="http://schemas.openxmlformats.org/markup-compatibility/2006">
          <mc:Choice Requires="x14">
            <control shapeId="1030" r:id="rId4" name="Option Button 6">
              <controlPr defaultSize="0" autoFill="0" autoLine="0" autoPict="0">
                <anchor moveWithCells="1">
                  <from>
                    <xdr:col>1</xdr:col>
                    <xdr:colOff>104775</xdr:colOff>
                    <xdr:row>11</xdr:row>
                    <xdr:rowOff>904875</xdr:rowOff>
                  </from>
                  <to>
                    <xdr:col>4</xdr:col>
                    <xdr:colOff>1628775</xdr:colOff>
                    <xdr:row>11</xdr:row>
                    <xdr:rowOff>1152525</xdr:rowOff>
                  </to>
                </anchor>
              </controlPr>
            </control>
          </mc:Choice>
        </mc:AlternateContent>
        <mc:AlternateContent xmlns:mc="http://schemas.openxmlformats.org/markup-compatibility/2006">
          <mc:Choice Requires="x14">
            <control shapeId="1031" r:id="rId5" name="Option Button 7">
              <controlPr defaultSize="0" autoFill="0" autoLine="0" autoPict="0" altText="I have privacy related concerns about this dataset that I would like to address through publication methods">
                <anchor moveWithCells="1">
                  <from>
                    <xdr:col>1</xdr:col>
                    <xdr:colOff>104775</xdr:colOff>
                    <xdr:row>11</xdr:row>
                    <xdr:rowOff>1171575</xdr:rowOff>
                  </from>
                  <to>
                    <xdr:col>4</xdr:col>
                    <xdr:colOff>447675</xdr:colOff>
                    <xdr:row>11</xdr:row>
                    <xdr:rowOff>1419225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E55F9BF-3A78-4D34-BC36-4908181DAA6F}">
            <x14:dataBar minLength="0" maxLength="100" gradient="0">
              <x14:cfvo type="num">
                <xm:f>0</xm:f>
              </x14:cfvo>
              <x14:cfvo type="num">
                <xm:f>1</xm:f>
              </x14:cfvo>
              <x14:negativeFillColor rgb="FFFF0000"/>
              <x14:axisColor rgb="FF000000"/>
            </x14:dataBar>
          </x14:cfRule>
          <xm:sqref>B4:E4</xm:sqref>
        </x14:conditionalFormatting>
        <x14:conditionalFormatting xmlns:xm="http://schemas.microsoft.com/office/excel/2006/main">
          <x14:cfRule type="iconSet" priority="10" id="{FE0C4D3F-CE99-4D84-8C79-48112727CCEC}">
            <x14:iconSet iconSet="3Symbols2" showValue="0" custom="1">
              <x14:cfvo type="percent">
                <xm:f>0</xm:f>
              </x14:cfvo>
              <x14:cfvo type="num">
                <xm:f>0</xm:f>
              </x14:cfvo>
              <x14:cfvo type="num">
                <xm:f>2</xm:f>
              </x14:cfvo>
              <x14:cfIcon iconSet="NoIcons" iconId="0"/>
              <x14:cfIcon iconSet="3Symbols2" iconId="0"/>
              <x14:cfIcon iconSet="3Symbols2" iconId="2"/>
            </x14:iconSet>
          </x14:cfRule>
          <xm:sqref>C7</xm:sqref>
        </x14:conditionalFormatting>
        <x14:conditionalFormatting xmlns:xm="http://schemas.microsoft.com/office/excel/2006/main">
          <x14:cfRule type="iconSet" priority="9" id="{68876A84-CA34-4EB1-89C7-23B3E62D795E}">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G7</xm:sqref>
        </x14:conditionalFormatting>
        <x14:conditionalFormatting xmlns:xm="http://schemas.microsoft.com/office/excel/2006/main">
          <x14:cfRule type="iconSet" priority="8" id="{4D1E2546-5FE8-4427-AF4A-D0C7F6601BB6}">
            <x14:iconSet iconSet="3Symbols2" showValue="0" custom="1">
              <x14:cfvo type="percent">
                <xm:f>0</xm:f>
              </x14:cfvo>
              <x14:cfvo type="num">
                <xm:f>0</xm:f>
              </x14:cfvo>
              <x14:cfvo type="num">
                <xm:f>2</xm:f>
              </x14:cfvo>
              <x14:cfIcon iconSet="NoIcons" iconId="0"/>
              <x14:cfIcon iconSet="3Symbols2" iconId="0"/>
              <x14:cfIcon iconSet="3Symbols2" iconId="2"/>
            </x14:iconSet>
          </x14:cfRule>
          <xm:sqref>C14</xm:sqref>
        </x14:conditionalFormatting>
        <x14:conditionalFormatting xmlns:xm="http://schemas.microsoft.com/office/excel/2006/main">
          <x14:cfRule type="iconSet" priority="7" id="{D702AD59-888A-4E31-8AEB-E38538FEDE60}">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G14</xm:sqref>
        </x14:conditionalFormatting>
        <x14:conditionalFormatting xmlns:xm="http://schemas.microsoft.com/office/excel/2006/main">
          <x14:cfRule type="iconSet" priority="6" id="{C8B10A25-C4C1-471B-AE6F-25099DF462D9}">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G11</xm:sqref>
        </x14:conditionalFormatting>
      </x14:conditionalFormatting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H31"/>
  <sheetViews>
    <sheetView showGridLines="0" topLeftCell="A7" workbookViewId="0">
      <selection activeCell="G13" sqref="G13"/>
    </sheetView>
  </sheetViews>
  <sheetFormatPr defaultColWidth="14.42578125" defaultRowHeight="15.75" customHeight="1" x14ac:dyDescent="0.2"/>
  <cols>
    <col min="1" max="1" width="3.28515625" customWidth="1"/>
    <col min="2" max="2" width="3.42578125" customWidth="1"/>
    <col min="3" max="3" width="23.140625" customWidth="1"/>
    <col min="4" max="4" width="3.42578125" customWidth="1"/>
    <col min="5" max="5" width="68.42578125" customWidth="1"/>
    <col min="6" max="6" width="2.85546875" customWidth="1"/>
    <col min="7" max="7" width="59.7109375" customWidth="1"/>
  </cols>
  <sheetData>
    <row r="1" spans="1:7" ht="44.1" customHeight="1" thickBot="1" x14ac:dyDescent="0.25">
      <c r="B1" s="132" t="s">
        <v>144</v>
      </c>
      <c r="C1" s="132"/>
      <c r="D1" s="132"/>
      <c r="E1" s="39" t="s">
        <v>149</v>
      </c>
    </row>
    <row r="2" spans="1:7" ht="47.1" customHeight="1" thickTop="1" x14ac:dyDescent="0.2">
      <c r="B2" s="130" t="s">
        <v>145</v>
      </c>
      <c r="C2" s="130"/>
      <c r="D2" s="130"/>
      <c r="E2" s="130"/>
    </row>
    <row r="3" spans="1:7" ht="18.75" customHeight="1" x14ac:dyDescent="0.2">
      <c r="B3" s="159" t="str">
        <f>IF(MetadataCount/MetadataEntry=1,"Step Complete","Step Incomplete")</f>
        <v>Step Incomplete</v>
      </c>
      <c r="C3" s="159"/>
      <c r="D3" s="159"/>
      <c r="E3" s="159"/>
    </row>
    <row r="4" spans="1:7" ht="23.25" customHeight="1" x14ac:dyDescent="0.2">
      <c r="B4" s="156">
        <f>MetadataCount/MetadataEntry</f>
        <v>0</v>
      </c>
      <c r="C4" s="157"/>
      <c r="D4" s="157"/>
      <c r="E4" s="158"/>
    </row>
    <row r="5" spans="1:7" ht="22.5" customHeight="1" x14ac:dyDescent="0.2">
      <c r="B5" s="164" t="s">
        <v>299</v>
      </c>
      <c r="C5" s="164"/>
      <c r="D5" s="83"/>
      <c r="E5" s="116" t="s">
        <v>300</v>
      </c>
      <c r="F5" s="84"/>
      <c r="G5" s="84"/>
    </row>
    <row r="6" spans="1:7" ht="117.75" customHeight="1" x14ac:dyDescent="0.2">
      <c r="B6" s="163" t="s">
        <v>301</v>
      </c>
      <c r="C6" s="163"/>
      <c r="D6" s="163"/>
      <c r="E6" s="163"/>
    </row>
    <row r="7" spans="1:7" ht="20.100000000000001" customHeight="1" x14ac:dyDescent="0.2">
      <c r="B7" s="12">
        <v>3</v>
      </c>
      <c r="C7" s="163" t="s">
        <v>3</v>
      </c>
      <c r="D7" s="163"/>
      <c r="E7" s="10"/>
    </row>
    <row r="8" spans="1:7" ht="20.100000000000001" customHeight="1" x14ac:dyDescent="0.2">
      <c r="B8" s="12">
        <v>2</v>
      </c>
      <c r="C8" s="163" t="s">
        <v>146</v>
      </c>
      <c r="D8" s="163"/>
      <c r="E8" s="163"/>
    </row>
    <row r="9" spans="1:7" ht="20.100000000000001" customHeight="1" x14ac:dyDescent="0.2">
      <c r="B9" s="12">
        <v>1</v>
      </c>
      <c r="C9" s="11" t="s">
        <v>10</v>
      </c>
      <c r="D9" s="11"/>
      <c r="E9" s="10"/>
    </row>
    <row r="10" spans="1:7" ht="20.100000000000001" customHeight="1" x14ac:dyDescent="0.2">
      <c r="B10" s="12">
        <v>4</v>
      </c>
      <c r="C10" s="11" t="s">
        <v>147</v>
      </c>
      <c r="D10" s="11"/>
      <c r="E10" s="10"/>
    </row>
    <row r="11" spans="1:7" ht="20.100000000000001" customHeight="1" x14ac:dyDescent="0.2">
      <c r="B11" s="166" t="s">
        <v>424</v>
      </c>
      <c r="C11" s="166"/>
      <c r="D11" s="166"/>
      <c r="E11" s="166"/>
    </row>
    <row r="12" spans="1:7" ht="9" customHeight="1" x14ac:dyDescent="0.2">
      <c r="B12" s="12"/>
      <c r="C12" s="11"/>
      <c r="D12" s="11"/>
      <c r="E12" s="10"/>
    </row>
    <row r="13" spans="1:7" ht="15.75" customHeight="1" x14ac:dyDescent="0.2">
      <c r="B13" s="162" t="s">
        <v>0</v>
      </c>
      <c r="C13" s="162"/>
      <c r="D13" s="16"/>
      <c r="E13" s="17" t="s">
        <v>124</v>
      </c>
    </row>
    <row r="14" spans="1:7" ht="15.75" customHeight="1" x14ac:dyDescent="0.2">
      <c r="B14" s="160" t="s">
        <v>2</v>
      </c>
      <c r="C14" s="161"/>
      <c r="D14" s="161"/>
      <c r="E14" s="18"/>
      <c r="F14" s="3"/>
      <c r="G14" s="3"/>
    </row>
    <row r="15" spans="1:7" ht="38.25" customHeight="1" x14ac:dyDescent="0.2">
      <c r="A15" s="81"/>
      <c r="B15" s="89"/>
      <c r="C15" s="19" t="s">
        <v>11</v>
      </c>
      <c r="D15" s="14">
        <f>IF(ISBLANK(E15),3,4)</f>
        <v>3</v>
      </c>
      <c r="E15" s="85"/>
    </row>
    <row r="16" spans="1:7" ht="83.25" customHeight="1" x14ac:dyDescent="0.2">
      <c r="A16" s="81"/>
      <c r="B16" s="90"/>
      <c r="C16" s="20" t="s">
        <v>12</v>
      </c>
      <c r="D16" s="21">
        <f>IF(ISBLANK(E16),3,4)</f>
        <v>3</v>
      </c>
      <c r="E16" s="86"/>
      <c r="G16" s="118" t="s">
        <v>409</v>
      </c>
    </row>
    <row r="17" spans="1:8" ht="15.75" customHeight="1" x14ac:dyDescent="0.2">
      <c r="A17" s="81"/>
      <c r="B17" s="91"/>
      <c r="C17" s="19" t="s">
        <v>13</v>
      </c>
      <c r="D17" s="14">
        <f>IF(ISBLANK(E17),3,4)</f>
        <v>3</v>
      </c>
      <c r="E17" s="22"/>
      <c r="F17" s="102"/>
      <c r="G17" s="68" t="s">
        <v>423</v>
      </c>
      <c r="H17" s="102"/>
    </row>
    <row r="18" spans="1:8" ht="15.75" customHeight="1" x14ac:dyDescent="0.2">
      <c r="A18" s="81"/>
      <c r="B18" s="80"/>
      <c r="C18" s="20" t="s">
        <v>14</v>
      </c>
      <c r="D18" s="21">
        <f>IF(LEN(E18)&gt;0,4,3)</f>
        <v>3</v>
      </c>
      <c r="E18" s="97"/>
    </row>
    <row r="19" spans="1:8" ht="15.75" customHeight="1" x14ac:dyDescent="0.25">
      <c r="B19" s="160" t="s">
        <v>8</v>
      </c>
      <c r="C19" s="161"/>
      <c r="D19" s="161"/>
      <c r="E19" s="23"/>
      <c r="F19" s="59"/>
      <c r="G19" s="59"/>
      <c r="H19" s="59"/>
    </row>
    <row r="20" spans="1:8" ht="15.75" customHeight="1" x14ac:dyDescent="0.2">
      <c r="B20" s="82"/>
      <c r="C20" s="24" t="s">
        <v>15</v>
      </c>
      <c r="D20" s="21">
        <f>IF(ISBLANK(E20),3,4)</f>
        <v>3</v>
      </c>
      <c r="E20" s="25"/>
    </row>
    <row r="21" spans="1:8" ht="15.75" customHeight="1" x14ac:dyDescent="0.25">
      <c r="B21" s="165" t="s">
        <v>148</v>
      </c>
      <c r="C21" s="161"/>
      <c r="D21" s="161"/>
      <c r="E21" s="23"/>
      <c r="F21" s="59"/>
      <c r="G21" s="59"/>
    </row>
    <row r="22" spans="1:8" ht="27" customHeight="1" x14ac:dyDescent="0.2">
      <c r="A22" s="81"/>
      <c r="B22" s="91"/>
      <c r="C22" s="26" t="s">
        <v>16</v>
      </c>
      <c r="D22" s="27">
        <f>IF(LEN(E22)&gt;0,4,3)</f>
        <v>3</v>
      </c>
      <c r="E22" s="28" t="str">
        <f>IF('1 - Instructions'!D7="Yes",'1 - Instructions'!D5,"")</f>
        <v/>
      </c>
    </row>
    <row r="23" spans="1:8" ht="26.25" customHeight="1" x14ac:dyDescent="0.2">
      <c r="B23" s="90"/>
      <c r="C23" s="20" t="s">
        <v>17</v>
      </c>
      <c r="D23" s="21">
        <f>IF(LEN(E23)&gt;0,4,3)</f>
        <v>3</v>
      </c>
      <c r="E23" s="29" t="str">
        <f>IF('1 - Instructions'!D7="Yes",'1 - Instructions'!D6,TRIM(""))</f>
        <v/>
      </c>
    </row>
    <row r="24" spans="1:8" ht="15.75" customHeight="1" x14ac:dyDescent="0.25">
      <c r="B24" s="160" t="s">
        <v>6</v>
      </c>
      <c r="C24" s="161"/>
      <c r="D24" s="161"/>
      <c r="E24" s="23"/>
      <c r="F24" s="59"/>
      <c r="G24" s="59"/>
    </row>
    <row r="25" spans="1:8" ht="15.75" customHeight="1" x14ac:dyDescent="0.2">
      <c r="A25" s="81"/>
      <c r="B25" s="91"/>
      <c r="C25" s="30" t="s">
        <v>125</v>
      </c>
      <c r="D25" s="27">
        <f>IF(ISBLANK(E25),3,4)</f>
        <v>3</v>
      </c>
      <c r="E25" s="15"/>
    </row>
    <row r="26" spans="1:8" ht="15.75" customHeight="1" x14ac:dyDescent="0.2">
      <c r="A26" s="81"/>
      <c r="B26" s="90"/>
      <c r="C26" s="24" t="s">
        <v>18</v>
      </c>
      <c r="D26" s="21">
        <f>IF(LEN(E26)&gt;0,4,IF(E25="Yes",3,IF(E25="No",4,2)))</f>
        <v>2</v>
      </c>
      <c r="E26" s="31"/>
    </row>
    <row r="27" spans="1:8" ht="39.75" customHeight="1" x14ac:dyDescent="0.2">
      <c r="A27" s="81"/>
      <c r="B27" s="91"/>
      <c r="C27" s="13" t="s">
        <v>19</v>
      </c>
      <c r="D27" s="14">
        <f>IF(ISBLANK(E27),1,4)</f>
        <v>1</v>
      </c>
      <c r="E27" s="15"/>
    </row>
    <row r="28" spans="1:8" ht="19.5" customHeight="1" x14ac:dyDescent="0.2">
      <c r="A28" s="81"/>
      <c r="B28" s="90"/>
      <c r="C28" s="24" t="s">
        <v>20</v>
      </c>
      <c r="D28" s="21">
        <f>IF(ISBLANK(E28),1,4)</f>
        <v>1</v>
      </c>
      <c r="E28" s="42"/>
    </row>
    <row r="29" spans="1:8" ht="91.5" customHeight="1" x14ac:dyDescent="0.2">
      <c r="A29" s="81"/>
      <c r="B29" s="92"/>
      <c r="C29" s="13" t="s">
        <v>21</v>
      </c>
      <c r="D29" s="27">
        <f>IF(ISBLANK(E29),1,4)</f>
        <v>1</v>
      </c>
      <c r="E29" s="15"/>
    </row>
    <row r="31" spans="1:8" ht="15.75" customHeight="1" x14ac:dyDescent="0.2">
      <c r="E31" s="41"/>
    </row>
  </sheetData>
  <mergeCells count="14">
    <mergeCell ref="B1:D1"/>
    <mergeCell ref="B6:E6"/>
    <mergeCell ref="B14:D14"/>
    <mergeCell ref="B19:D19"/>
    <mergeCell ref="B21:D21"/>
    <mergeCell ref="B3:E3"/>
    <mergeCell ref="B4:E4"/>
    <mergeCell ref="B11:E11"/>
    <mergeCell ref="B24:D24"/>
    <mergeCell ref="B2:E2"/>
    <mergeCell ref="B13:C13"/>
    <mergeCell ref="C7:D7"/>
    <mergeCell ref="C8:E8"/>
    <mergeCell ref="B5:C5"/>
  </mergeCells>
  <conditionalFormatting sqref="E15">
    <cfRule type="iconSet" priority="8">
      <iconSet iconSet="4RedToBlack">
        <cfvo type="percent" val="0"/>
        <cfvo type="percent" val="25"/>
        <cfvo type="percent" val="50"/>
        <cfvo type="percent" val="75"/>
      </iconSet>
    </cfRule>
    <cfRule type="iconSet" priority="9">
      <iconSet iconSet="3Flags">
        <cfvo type="percent" val="0"/>
        <cfvo type="percent" val="33"/>
        <cfvo type="percent" val="67"/>
      </iconSet>
    </cfRule>
  </conditionalFormatting>
  <conditionalFormatting sqref="E31">
    <cfRule type="dataBar" priority="6">
      <dataBar showValue="0">
        <cfvo type="num" val="0"/>
        <cfvo type="num" val="1"/>
        <color rgb="FF638EC6"/>
      </dataBar>
      <extLst>
        <ext xmlns:x14="http://schemas.microsoft.com/office/spreadsheetml/2009/9/main" uri="{B025F937-C7B1-47D3-B67F-A62EFF666E3E}">
          <x14:id>{15A5ABA2-10C3-4DC4-B10C-A06EA4E694D1}</x14:id>
        </ext>
      </extLst>
    </cfRule>
  </conditionalFormatting>
  <conditionalFormatting sqref="B4:E4">
    <cfRule type="dataBar" priority="5">
      <dataBar>
        <cfvo type="num" val="0"/>
        <cfvo type="num" val="1"/>
        <color rgb="FF008AEF"/>
      </dataBar>
      <extLst>
        <ext xmlns:x14="http://schemas.microsoft.com/office/spreadsheetml/2009/9/main" uri="{B025F937-C7B1-47D3-B67F-A62EFF666E3E}">
          <x14:id>{11FA8E82-06ED-406A-B585-0A810FE98C98}</x14:id>
        </ext>
      </extLst>
    </cfRule>
  </conditionalFormatting>
  <conditionalFormatting sqref="B3:E3">
    <cfRule type="containsText" dxfId="19" priority="3" operator="containsText" text="Step Complete">
      <formula>NOT(ISERROR(SEARCH("Step Complete",B3)))</formula>
    </cfRule>
    <cfRule type="containsText" dxfId="18" priority="4" operator="containsText" text="Step Incomplete">
      <formula>NOT(ISERROR(SEARCH("Step Incomplete",B3)))</formula>
    </cfRule>
  </conditionalFormatting>
  <dataValidations xWindow="552" yWindow="611" count="14">
    <dataValidation type="list" allowBlank="1" showInputMessage="1" showErrorMessage="1" promptTitle="Category (dropdown)" prompt="There are 10 categories available on the Data Catalog. Please choose one that best captures your data. This helps users not familiar with the City organization to find data.  You can read more guidance on choosing a category in the detailed guide." sqref="E17">
      <formula1>Category</formula1>
    </dataValidation>
    <dataValidation type="list" allowBlank="1" showInputMessage="1" showErrorMessage="1" promptTitle="Department (dropdown)" prompt="Please select your department from the list. This will be reported on the catalog to make it clear what department &quot;owns&quot; the creation of the dataset." sqref="E18">
      <formula1>Department</formula1>
    </dataValidation>
    <dataValidation type="list" allowBlank="1" showInputMessage="1" showErrorMessage="1" errorTitle="Invalid frequency" error="Please choose from one of the options available in the list." promptTitle="Frequency of change (dropdown)" prompt="Please choose the interval at which this dataset changes. If it does not change, you can choose Not updated (historical only)." sqref="E20">
      <formula1>FrequencyDataChange</formula1>
    </dataValidation>
    <dataValidation type="list" allowBlank="1" showInputMessage="1" showErrorMessage="1" sqref="E35">
      <formula1>FrequencyPublishing</formula1>
    </dataValidation>
    <dataValidation type="list" allowBlank="1" showInputMessage="1" showErrorMessage="1" sqref="E34">
      <formula1>Format</formula1>
    </dataValidation>
    <dataValidation type="custom" allowBlank="1" showInputMessage="1" showErrorMessage="1" errorTitle="Invalid email" error="Please check to make sure you've entered a valid email address." promptTitle="Data steward email (free text)" prompt="Please enter the email address of the person above. This is a private field used for internal management only." sqref="E23">
      <formula1>COUNTIF(E23,"?*@?*.??*")&gt;0</formula1>
    </dataValidation>
    <dataValidation type="list" allowBlank="1" showInputMessage="1" showErrorMessage="1" errorTitle="Yes or No only" error="Please indicate either Yes or No." promptTitle="Does your data have geography?" prompt="Do you have a column indicating some sort of geography. Census? Address? Latitude and Longitude? If you have ANY geography in your data, select Yes, otherwise, select No." sqref="E25">
      <formula1>GeographyIncluded</formula1>
    </dataValidation>
    <dataValidation type="list" allowBlank="1" showInputMessage="1" showErrorMessage="1" promptTitle="Level of geography (dropdown)" prompt="You must answer the prior question first. If Yes, select the most precise geography in your dataset. If you have supervisor district &amp; address, you would select Street Address. If above is no, select not applicable." sqref="E26">
      <formula1>INDIRECT(E25)</formula1>
    </dataValidation>
    <dataValidation type="textLength" errorStyle="warning" allowBlank="1" showInputMessage="1" showErrorMessage="1" errorTitle="Title length" error="Your title is either too short or too long. Please consider revising your title. And remember to make it is as clear to someone not familiar with the City's programs as possible." promptTitle="Dataset Title (free text)" prompt="This title will show up in search results. It's important to make sure the title is jargon-free, concise and clear. The data validation will give you a warning if the title is too long, but take this as advice not a firm requirement." sqref="E15">
      <formula1>5</formula1>
      <formula2>90</formula2>
    </dataValidation>
    <dataValidation type="textLength" errorStyle="warning" allowBlank="1" showInputMessage="1" showErrorMessage="1" errorTitle="Description length" error="The length of the description is either too short or too long. Please consider revising the text." promptTitle="Dataset description (free text)" prompt="Please enter a clear and concise description of the dataset. This will show up in search results as well as at the top of the dataset under the title. Avoid jargon or explain terms where possible. You can include a URL if you want to link to more detail." sqref="E16">
      <formula1>200</formula1>
      <formula2>400</formula2>
    </dataValidation>
    <dataValidation type="textLength" operator="greaterThan" allowBlank="1" showInputMessage="1" showErrorMessage="1" errorTitle="Name required" error="A data steward name is required" promptTitle="Data steward name (free text)" prompt="Who manages the data and is responsible for making changes to the data? Who understands what the dataset includes and can answer questions about it? This is a private field for internal use only." sqref="E22">
      <formula1>0</formula1>
    </dataValidation>
    <dataValidation type="custom" errorStyle="information" allowBlank="1" showInputMessage="1" showErrorMessage="1" errorTitle="Separate tags with commas" error="If you have multiple tags in your entry, remember to separate them with tags." promptTitle="Tags (otional)" prompt="Tags (or keywords) help users discover your dataset; please include terms that would be used by technical and non-technical users. Please separate your tags with commas." sqref="E27">
      <formula1>IFERROR(SEARCH(",",E27)&gt; 0,FALSE)</formula1>
    </dataValidation>
    <dataValidation allowBlank="1" showInputMessage="1" showErrorMessage="1" promptTitle="Program link (optional)" prompt="Program links can provide more information on the origin of the dataset. Please enter one link (URL) to the reference. Not all datasets will have this information." sqref="E28"/>
    <dataValidation allowBlank="1" showInputMessage="1" showErrorMessage="1" promptTitle="Data notes (optional)" prompt="Data notes provide an opportunity to include information not captured in other fields. You can include notes on data reliability, accurateness, methodology, etc. Please read the detailed guide for more." sqref="E29"/>
  </dataValidations>
  <hyperlinks>
    <hyperlink ref="E1" location="'1 - Instructions'!A1" display="Return to Instructions"/>
    <hyperlink ref="E5" location="'4 - Field Documentation'!A1" display="next &gt;&gt;"/>
    <hyperlink ref="B5:C5" location="'2 - Internal Review'!A1" display="&lt;&lt; prev"/>
    <hyperlink ref="G17" location="Reference!A1" display="Click here for category descriptions"/>
    <hyperlink ref="B11" r:id="rId1" location="heading=h.mps25wabip9m" display="?"/>
    <hyperlink ref="B11:E11" r:id="rId2" location="heading=h.vjpxlodb47np" display="Click for additional online guidance on completing the metadata"/>
  </hyperlinks>
  <pageMargins left="0.7" right="0.7" top="0.75" bottom="0.75" header="0.3" footer="0.3"/>
  <pageSetup orientation="portrait"/>
  <extLst>
    <ext xmlns:x14="http://schemas.microsoft.com/office/spreadsheetml/2009/9/main" uri="{78C0D931-6437-407d-A8EE-F0AAD7539E65}">
      <x14:conditionalFormattings>
        <x14:conditionalFormatting xmlns:xm="http://schemas.microsoft.com/office/excel/2006/main">
          <x14:cfRule type="dataBar" id="{15A5ABA2-10C3-4DC4-B10C-A06EA4E694D1}">
            <x14:dataBar minLength="0" maxLength="100" gradient="0">
              <x14:cfvo type="num">
                <xm:f>0</xm:f>
              </x14:cfvo>
              <x14:cfvo type="num">
                <xm:f>1</xm:f>
              </x14:cfvo>
              <x14:negativeFillColor rgb="FFFF0000"/>
              <x14:axisColor rgb="FF000000"/>
            </x14:dataBar>
          </x14:cfRule>
          <xm:sqref>E31</xm:sqref>
        </x14:conditionalFormatting>
        <x14:conditionalFormatting xmlns:xm="http://schemas.microsoft.com/office/excel/2006/main">
          <x14:cfRule type="dataBar" id="{11FA8E82-06ED-406A-B585-0A810FE98C98}">
            <x14:dataBar minLength="0" maxLength="100" gradient="0">
              <x14:cfvo type="num">
                <xm:f>0</xm:f>
              </x14:cfvo>
              <x14:cfvo type="num">
                <xm:f>1</xm:f>
              </x14:cfvo>
              <x14:negativeFillColor rgb="FFFF0000"/>
              <x14:axisColor rgb="FF000000"/>
            </x14:dataBar>
          </x14:cfRule>
          <xm:sqref>B4:E4</xm:sqref>
        </x14:conditionalFormatting>
        <x14:conditionalFormatting xmlns:xm="http://schemas.microsoft.com/office/excel/2006/main">
          <x14:cfRule type="iconSet" priority="7" id="{8AF7DD33-E118-480E-A32C-B162CD5DF6E0}">
            <x14:iconSet iconSet="4RedToBlack" showValue="0" custom="1">
              <x14:cfvo type="percent">
                <xm:f>0</xm:f>
              </x14:cfvo>
              <x14:cfvo type="num">
                <xm:f>2</xm:f>
              </x14:cfvo>
              <x14:cfvo type="num">
                <xm:f>3</xm:f>
              </x14:cfvo>
              <x14:cfvo type="num">
                <xm:f>4</xm:f>
              </x14:cfvo>
              <x14:cfIcon iconSet="4RedToBlack" iconId="1"/>
              <x14:cfIcon iconSet="4RedToBlack" iconId="2"/>
              <x14:cfIcon iconSet="4RedToBlack" iconId="3"/>
              <x14:cfIcon iconSet="3TrafficLights1" iconId="2"/>
            </x14:iconSet>
          </x14:cfRule>
          <xm:sqref>D15:D18 D20 D22:D23 D25:D29 B7:B10 B12</xm:sqref>
        </x14:conditionalFormatting>
      </x14:conditionalFormattings>
    </ex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B1:H53"/>
  <sheetViews>
    <sheetView showGridLines="0" workbookViewId="0">
      <selection activeCell="C8" sqref="C8:D8"/>
    </sheetView>
  </sheetViews>
  <sheetFormatPr defaultColWidth="8.85546875" defaultRowHeight="12.75" x14ac:dyDescent="0.2"/>
  <cols>
    <col min="1" max="1" width="2" customWidth="1"/>
    <col min="2" max="2" width="6.5703125" customWidth="1"/>
    <col min="3" max="3" width="33.85546875" customWidth="1"/>
    <col min="4" max="4" width="18.85546875" customWidth="1"/>
    <col min="5" max="5" width="55.28515625" customWidth="1"/>
    <col min="6" max="6" width="27.5703125" customWidth="1"/>
    <col min="7" max="7" width="8.85546875" hidden="1" customWidth="1"/>
  </cols>
  <sheetData>
    <row r="1" spans="2:8" ht="44.1" customHeight="1" thickBot="1" x14ac:dyDescent="0.25">
      <c r="B1" s="132" t="s">
        <v>144</v>
      </c>
      <c r="C1" s="132"/>
      <c r="D1" s="113"/>
      <c r="E1" s="104" t="s">
        <v>149</v>
      </c>
    </row>
    <row r="2" spans="2:8" ht="46.5" customHeight="1" thickTop="1" x14ac:dyDescent="0.2">
      <c r="B2" s="170" t="s">
        <v>377</v>
      </c>
      <c r="C2" s="170"/>
      <c r="D2" s="170"/>
      <c r="E2" s="170"/>
      <c r="F2" s="110"/>
    </row>
    <row r="3" spans="2:8" ht="18.75" customHeight="1" x14ac:dyDescent="0.2">
      <c r="B3" s="159" t="str">
        <f>IF(DictionaryCount/DictionaryEntry=1,"Step Complete","Step Incomplete")</f>
        <v>Step Incomplete</v>
      </c>
      <c r="C3" s="159"/>
      <c r="D3" s="159"/>
      <c r="E3" s="159"/>
      <c r="F3" s="84"/>
    </row>
    <row r="4" spans="2:8" ht="23.25" customHeight="1" x14ac:dyDescent="0.2">
      <c r="B4" s="156">
        <f>DictionaryCount/DictionaryEntry</f>
        <v>0</v>
      </c>
      <c r="C4" s="157"/>
      <c r="D4" s="157"/>
      <c r="E4" s="158"/>
      <c r="F4" s="88"/>
    </row>
    <row r="5" spans="2:8" ht="22.5" customHeight="1" x14ac:dyDescent="0.2">
      <c r="B5" s="167" t="s">
        <v>299</v>
      </c>
      <c r="C5" s="167"/>
      <c r="E5" s="117" t="s">
        <v>300</v>
      </c>
    </row>
    <row r="6" spans="2:8" ht="134.25" customHeight="1" x14ac:dyDescent="0.2">
      <c r="B6" s="134" t="s">
        <v>378</v>
      </c>
      <c r="C6" s="134"/>
      <c r="D6" s="134"/>
      <c r="E6" s="134"/>
      <c r="F6" s="109"/>
      <c r="H6" s="50"/>
    </row>
    <row r="7" spans="2:8" ht="15.75" customHeight="1" x14ac:dyDescent="0.2">
      <c r="B7" s="169" t="s">
        <v>380</v>
      </c>
      <c r="C7" s="169"/>
      <c r="D7" s="103"/>
      <c r="E7" s="109"/>
      <c r="F7" s="109"/>
      <c r="H7" s="105"/>
    </row>
    <row r="8" spans="2:8" ht="39.75" customHeight="1" x14ac:dyDescent="0.2">
      <c r="B8" s="114">
        <f>COUNTA('2 - Internal Review'!B16:B94)</f>
        <v>0</v>
      </c>
      <c r="C8" s="168" t="str">
        <f>IF(B8=0,"There are no columns detected in Step 2, please enter the number of columns expected in your dataset","")</f>
        <v>There are no columns detected in Step 2, please enter the number of columns expected in your dataset</v>
      </c>
      <c r="D8" s="168"/>
      <c r="E8" s="109"/>
      <c r="F8" s="109"/>
      <c r="H8" s="105"/>
    </row>
    <row r="9" spans="2:8" ht="20.100000000000001" customHeight="1" x14ac:dyDescent="0.2">
      <c r="C9" s="115" t="s">
        <v>428</v>
      </c>
      <c r="D9" s="115" t="s">
        <v>429</v>
      </c>
      <c r="E9" s="115" t="s">
        <v>5</v>
      </c>
      <c r="F9" s="115" t="s">
        <v>379</v>
      </c>
    </row>
    <row r="10" spans="2:8" x14ac:dyDescent="0.2">
      <c r="C10" s="43"/>
      <c r="D10" s="61"/>
      <c r="E10" s="112"/>
      <c r="F10" s="112"/>
      <c r="G10">
        <f>IF(COUNTA(C10:E10)=3,1,0)</f>
        <v>0</v>
      </c>
    </row>
    <row r="11" spans="2:8" x14ac:dyDescent="0.2">
      <c r="C11" s="43"/>
      <c r="D11" s="61"/>
      <c r="E11" s="112"/>
      <c r="F11" s="108"/>
      <c r="G11">
        <f t="shared" ref="G11:G52" si="0">IF(COUNTA(C11:E11)=3,1,0)</f>
        <v>0</v>
      </c>
    </row>
    <row r="12" spans="2:8" ht="20.100000000000001" customHeight="1" x14ac:dyDescent="0.2">
      <c r="C12" s="43"/>
      <c r="D12" s="61"/>
      <c r="E12" s="112"/>
      <c r="F12" s="108"/>
      <c r="G12">
        <f t="shared" si="0"/>
        <v>0</v>
      </c>
    </row>
    <row r="13" spans="2:8" x14ac:dyDescent="0.2">
      <c r="C13" s="43"/>
      <c r="D13" s="61"/>
      <c r="E13" s="112"/>
      <c r="F13" s="108"/>
      <c r="G13">
        <f t="shared" si="0"/>
        <v>0</v>
      </c>
    </row>
    <row r="14" spans="2:8" x14ac:dyDescent="0.2">
      <c r="C14" s="43"/>
      <c r="D14" s="43"/>
      <c r="E14" s="112"/>
      <c r="F14" s="108"/>
      <c r="G14">
        <f t="shared" si="0"/>
        <v>0</v>
      </c>
    </row>
    <row r="15" spans="2:8" ht="20.100000000000001" customHeight="1" x14ac:dyDescent="0.2">
      <c r="C15" s="43"/>
      <c r="D15" s="43"/>
      <c r="E15" s="112"/>
      <c r="F15" s="108"/>
      <c r="G15">
        <f t="shared" si="0"/>
        <v>0</v>
      </c>
    </row>
    <row r="16" spans="2:8" ht="20.100000000000001" customHeight="1" x14ac:dyDescent="0.2">
      <c r="C16" s="43"/>
      <c r="D16" s="43"/>
      <c r="E16" s="112"/>
      <c r="F16" s="108"/>
      <c r="G16">
        <f t="shared" si="0"/>
        <v>0</v>
      </c>
    </row>
    <row r="17" spans="3:7" x14ac:dyDescent="0.2">
      <c r="C17" s="43"/>
      <c r="D17" s="43"/>
      <c r="E17" s="112"/>
      <c r="F17" s="108"/>
      <c r="G17">
        <f t="shared" si="0"/>
        <v>0</v>
      </c>
    </row>
    <row r="18" spans="3:7" x14ac:dyDescent="0.2">
      <c r="C18" s="43"/>
      <c r="D18" s="43"/>
      <c r="E18" s="112"/>
      <c r="F18" s="108"/>
      <c r="G18">
        <f t="shared" si="0"/>
        <v>0</v>
      </c>
    </row>
    <row r="19" spans="3:7" ht="20.100000000000001" customHeight="1" x14ac:dyDescent="0.2">
      <c r="C19" s="43"/>
      <c r="D19" s="43"/>
      <c r="E19" s="112"/>
      <c r="F19" s="108"/>
      <c r="G19">
        <f t="shared" si="0"/>
        <v>0</v>
      </c>
    </row>
    <row r="20" spans="3:7" x14ac:dyDescent="0.2">
      <c r="C20" s="43"/>
      <c r="D20" s="43"/>
      <c r="E20" s="112"/>
      <c r="F20" s="108"/>
      <c r="G20">
        <f t="shared" si="0"/>
        <v>0</v>
      </c>
    </row>
    <row r="21" spans="3:7" x14ac:dyDescent="0.2">
      <c r="C21" s="43"/>
      <c r="D21" s="43"/>
      <c r="E21" s="112"/>
      <c r="F21" s="108"/>
      <c r="G21">
        <f t="shared" si="0"/>
        <v>0</v>
      </c>
    </row>
    <row r="22" spans="3:7" x14ac:dyDescent="0.2">
      <c r="C22" s="43"/>
      <c r="D22" s="43"/>
      <c r="E22" s="112"/>
      <c r="F22" s="108"/>
      <c r="G22">
        <f t="shared" si="0"/>
        <v>0</v>
      </c>
    </row>
    <row r="23" spans="3:7" ht="27.75" customHeight="1" x14ac:dyDescent="0.2">
      <c r="C23" s="43"/>
      <c r="D23" s="43"/>
      <c r="E23" s="112"/>
      <c r="F23" s="108"/>
      <c r="G23">
        <f t="shared" si="0"/>
        <v>0</v>
      </c>
    </row>
    <row r="24" spans="3:7" x14ac:dyDescent="0.2">
      <c r="C24" s="43"/>
      <c r="D24" s="43"/>
      <c r="E24" s="112"/>
      <c r="F24" s="108"/>
      <c r="G24">
        <f t="shared" si="0"/>
        <v>0</v>
      </c>
    </row>
    <row r="25" spans="3:7" x14ac:dyDescent="0.2">
      <c r="C25" s="43"/>
      <c r="D25" s="43"/>
      <c r="E25" s="112"/>
      <c r="F25" s="108"/>
      <c r="G25">
        <f t="shared" si="0"/>
        <v>0</v>
      </c>
    </row>
    <row r="26" spans="3:7" x14ac:dyDescent="0.2">
      <c r="C26" s="43"/>
      <c r="D26" s="43"/>
      <c r="E26" s="112"/>
      <c r="F26" s="43"/>
      <c r="G26">
        <f t="shared" si="0"/>
        <v>0</v>
      </c>
    </row>
    <row r="27" spans="3:7" x14ac:dyDescent="0.2">
      <c r="C27" s="61"/>
      <c r="D27" s="43"/>
      <c r="E27" s="112"/>
      <c r="F27" s="43"/>
      <c r="G27">
        <f t="shared" si="0"/>
        <v>0</v>
      </c>
    </row>
    <row r="28" spans="3:7" ht="20.100000000000001" customHeight="1" x14ac:dyDescent="0.2">
      <c r="C28" s="43"/>
      <c r="D28" s="43"/>
      <c r="E28" s="61"/>
      <c r="F28" s="43"/>
      <c r="G28">
        <f t="shared" si="0"/>
        <v>0</v>
      </c>
    </row>
    <row r="29" spans="3:7" ht="20.100000000000001" customHeight="1" x14ac:dyDescent="0.2">
      <c r="C29" s="43"/>
      <c r="D29" s="43"/>
      <c r="E29" s="43"/>
      <c r="F29" s="43"/>
      <c r="G29">
        <f t="shared" si="0"/>
        <v>0</v>
      </c>
    </row>
    <row r="30" spans="3:7" ht="20.100000000000001" customHeight="1" x14ac:dyDescent="0.2">
      <c r="C30" s="43"/>
      <c r="D30" s="43"/>
      <c r="E30" s="43"/>
      <c r="F30" s="43"/>
      <c r="G30">
        <f t="shared" si="0"/>
        <v>0</v>
      </c>
    </row>
    <row r="31" spans="3:7" ht="20.100000000000001" customHeight="1" x14ac:dyDescent="0.2">
      <c r="C31" s="43"/>
      <c r="D31" s="43"/>
      <c r="E31" s="43"/>
      <c r="F31" s="43"/>
      <c r="G31">
        <f t="shared" si="0"/>
        <v>0</v>
      </c>
    </row>
    <row r="32" spans="3:7" ht="20.100000000000001" customHeight="1" x14ac:dyDescent="0.2">
      <c r="C32" s="43"/>
      <c r="D32" s="43"/>
      <c r="E32" s="43"/>
      <c r="F32" s="43"/>
      <c r="G32">
        <f t="shared" si="0"/>
        <v>0</v>
      </c>
    </row>
    <row r="33" spans="3:7" ht="20.100000000000001" customHeight="1" x14ac:dyDescent="0.2">
      <c r="C33" s="43"/>
      <c r="D33" s="43"/>
      <c r="E33" s="43"/>
      <c r="F33" s="43"/>
      <c r="G33">
        <f t="shared" si="0"/>
        <v>0</v>
      </c>
    </row>
    <row r="34" spans="3:7" ht="20.100000000000001" customHeight="1" x14ac:dyDescent="0.2">
      <c r="C34" s="43"/>
      <c r="D34" s="43"/>
      <c r="E34" s="43"/>
      <c r="F34" s="43"/>
      <c r="G34">
        <f t="shared" si="0"/>
        <v>0</v>
      </c>
    </row>
    <row r="35" spans="3:7" ht="20.100000000000001" customHeight="1" x14ac:dyDescent="0.2">
      <c r="C35" s="43"/>
      <c r="D35" s="43"/>
      <c r="E35" s="43"/>
      <c r="F35" s="43"/>
      <c r="G35">
        <f t="shared" si="0"/>
        <v>0</v>
      </c>
    </row>
    <row r="36" spans="3:7" ht="20.100000000000001" customHeight="1" x14ac:dyDescent="0.2">
      <c r="C36" s="43"/>
      <c r="D36" s="43"/>
      <c r="E36" s="43"/>
      <c r="F36" s="43"/>
      <c r="G36">
        <f t="shared" si="0"/>
        <v>0</v>
      </c>
    </row>
    <row r="37" spans="3:7" ht="20.100000000000001" customHeight="1" x14ac:dyDescent="0.2">
      <c r="C37" s="43"/>
      <c r="D37" s="43"/>
      <c r="E37" s="43"/>
      <c r="F37" s="43"/>
      <c r="G37">
        <f t="shared" si="0"/>
        <v>0</v>
      </c>
    </row>
    <row r="38" spans="3:7" ht="20.100000000000001" customHeight="1" x14ac:dyDescent="0.2">
      <c r="C38" s="43"/>
      <c r="D38" s="43"/>
      <c r="E38" s="43"/>
      <c r="F38" s="43"/>
      <c r="G38">
        <f t="shared" si="0"/>
        <v>0</v>
      </c>
    </row>
    <row r="39" spans="3:7" ht="20.100000000000001" customHeight="1" x14ac:dyDescent="0.2">
      <c r="C39" s="43"/>
      <c r="D39" s="43"/>
      <c r="E39" s="43"/>
      <c r="F39" s="43"/>
      <c r="G39">
        <f t="shared" si="0"/>
        <v>0</v>
      </c>
    </row>
    <row r="40" spans="3:7" ht="20.100000000000001" customHeight="1" x14ac:dyDescent="0.2">
      <c r="C40" s="43"/>
      <c r="D40" s="43"/>
      <c r="E40" s="43"/>
      <c r="F40" s="43"/>
      <c r="G40">
        <f t="shared" si="0"/>
        <v>0</v>
      </c>
    </row>
    <row r="41" spans="3:7" ht="20.100000000000001" customHeight="1" x14ac:dyDescent="0.2">
      <c r="C41" s="43"/>
      <c r="D41" s="43"/>
      <c r="E41" s="43"/>
      <c r="F41" s="43"/>
      <c r="G41">
        <f t="shared" si="0"/>
        <v>0</v>
      </c>
    </row>
    <row r="42" spans="3:7" ht="20.100000000000001" customHeight="1" x14ac:dyDescent="0.2">
      <c r="C42" s="43"/>
      <c r="D42" s="43"/>
      <c r="E42" s="43"/>
      <c r="F42" s="43"/>
      <c r="G42">
        <f t="shared" si="0"/>
        <v>0</v>
      </c>
    </row>
    <row r="43" spans="3:7" ht="20.100000000000001" customHeight="1" x14ac:dyDescent="0.2">
      <c r="C43" s="43"/>
      <c r="D43" s="43"/>
      <c r="E43" s="43"/>
      <c r="F43" s="43"/>
      <c r="G43">
        <f t="shared" si="0"/>
        <v>0</v>
      </c>
    </row>
    <row r="44" spans="3:7" ht="20.100000000000001" customHeight="1" x14ac:dyDescent="0.2">
      <c r="C44" s="43"/>
      <c r="D44" s="43"/>
      <c r="E44" s="43"/>
      <c r="F44" s="43"/>
      <c r="G44">
        <f t="shared" si="0"/>
        <v>0</v>
      </c>
    </row>
    <row r="45" spans="3:7" ht="20.100000000000001" customHeight="1" x14ac:dyDescent="0.2">
      <c r="C45" s="43"/>
      <c r="D45" s="43"/>
      <c r="E45" s="43"/>
      <c r="F45" s="43"/>
      <c r="G45">
        <f t="shared" si="0"/>
        <v>0</v>
      </c>
    </row>
    <row r="46" spans="3:7" ht="20.100000000000001" customHeight="1" x14ac:dyDescent="0.2">
      <c r="C46" s="43"/>
      <c r="D46" s="43"/>
      <c r="E46" s="43"/>
      <c r="F46" s="43"/>
      <c r="G46">
        <f t="shared" si="0"/>
        <v>0</v>
      </c>
    </row>
    <row r="47" spans="3:7" ht="20.100000000000001" customHeight="1" x14ac:dyDescent="0.2">
      <c r="C47" s="43"/>
      <c r="D47" s="43"/>
      <c r="E47" s="43"/>
      <c r="F47" s="43"/>
      <c r="G47">
        <f t="shared" si="0"/>
        <v>0</v>
      </c>
    </row>
    <row r="48" spans="3:7" ht="20.100000000000001" customHeight="1" x14ac:dyDescent="0.2">
      <c r="C48" s="43"/>
      <c r="D48" s="43"/>
      <c r="E48" s="43"/>
      <c r="F48" s="43"/>
      <c r="G48">
        <f t="shared" si="0"/>
        <v>0</v>
      </c>
    </row>
    <row r="49" spans="3:7" ht="20.100000000000001" customHeight="1" x14ac:dyDescent="0.2">
      <c r="C49" s="43"/>
      <c r="D49" s="43"/>
      <c r="E49" s="43"/>
      <c r="F49" s="43"/>
      <c r="G49">
        <f t="shared" si="0"/>
        <v>0</v>
      </c>
    </row>
    <row r="50" spans="3:7" ht="20.100000000000001" customHeight="1" x14ac:dyDescent="0.2">
      <c r="C50" s="43"/>
      <c r="D50" s="43"/>
      <c r="E50" s="43"/>
      <c r="F50" s="43"/>
      <c r="G50">
        <f t="shared" si="0"/>
        <v>0</v>
      </c>
    </row>
    <row r="51" spans="3:7" ht="20.100000000000001" customHeight="1" x14ac:dyDescent="0.2">
      <c r="C51" s="43"/>
      <c r="D51" s="43"/>
      <c r="E51" s="43"/>
      <c r="F51" s="43"/>
      <c r="G51">
        <f t="shared" si="0"/>
        <v>0</v>
      </c>
    </row>
    <row r="52" spans="3:7" ht="20.100000000000001" customHeight="1" x14ac:dyDescent="0.2">
      <c r="C52" s="43"/>
      <c r="D52" s="43"/>
      <c r="E52" s="43"/>
      <c r="F52" s="43"/>
      <c r="G52">
        <f t="shared" si="0"/>
        <v>0</v>
      </c>
    </row>
    <row r="53" spans="3:7" ht="20.100000000000001" customHeight="1" x14ac:dyDescent="0.2"/>
  </sheetData>
  <mergeCells count="8">
    <mergeCell ref="B1:C1"/>
    <mergeCell ref="B5:C5"/>
    <mergeCell ref="C8:D8"/>
    <mergeCell ref="B7:C7"/>
    <mergeCell ref="B6:E6"/>
    <mergeCell ref="B4:E4"/>
    <mergeCell ref="B2:E2"/>
    <mergeCell ref="B3:E3"/>
  </mergeCells>
  <conditionalFormatting sqref="B4">
    <cfRule type="dataBar" priority="5">
      <dataBar>
        <cfvo type="num" val="0"/>
        <cfvo type="num" val="1"/>
        <color rgb="FF008AEF"/>
      </dataBar>
      <extLst>
        <ext xmlns:x14="http://schemas.microsoft.com/office/spreadsheetml/2009/9/main" uri="{B025F937-C7B1-47D3-B67F-A62EFF666E3E}">
          <x14:id>{1F6D3961-C714-424C-8FC4-59A3ACEBEB48}</x14:id>
        </ext>
      </extLst>
    </cfRule>
  </conditionalFormatting>
  <conditionalFormatting sqref="B3">
    <cfRule type="containsText" dxfId="17" priority="3" operator="containsText" text="Step Complete">
      <formula>NOT(ISERROR(SEARCH("Step Complete",B3)))</formula>
    </cfRule>
    <cfRule type="containsText" dxfId="16" priority="4" operator="containsText" text="Step Incomplete">
      <formula>NOT(ISERROR(SEARCH("Step Incomplete",B3)))</formula>
    </cfRule>
  </conditionalFormatting>
  <conditionalFormatting sqref="E5">
    <cfRule type="expression" dxfId="15" priority="1">
      <formula>$B$3="Step Complete"</formula>
    </cfRule>
    <cfRule type="expression" dxfId="14" priority="2">
      <formula>$B$3="Step Incomplete"</formula>
    </cfRule>
  </conditionalFormatting>
  <dataValidations count="1">
    <dataValidation type="list" allowBlank="1" showInputMessage="1" showErrorMessage="1" sqref="D10:D52">
      <formula1>DataTypes</formula1>
    </dataValidation>
  </dataValidations>
  <hyperlinks>
    <hyperlink ref="E1" location="'1 - Instructions'!A1" display="Return to Instructions"/>
    <hyperlink ref="B5:C5" location="'3 - Metadata'!A1" display="&lt;&lt; prev"/>
    <hyperlink ref="E5" location="'5 - Automation Questionnaire'!A1" display="next &gt;&gt;"/>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F6D3961-C714-424C-8FC4-59A3ACEBEB48}">
            <x14:dataBar minLength="0" maxLength="100" gradient="0">
              <x14:cfvo type="num">
                <xm:f>0</xm:f>
              </x14:cfvo>
              <x14:cfvo type="num">
                <xm:f>1</xm:f>
              </x14:cfvo>
              <x14:negativeFillColor rgb="FFFF0000"/>
              <x14:axisColor rgb="FF000000"/>
            </x14:dataBar>
          </x14:cfRule>
          <xm:sqref>B4</xm:sqref>
        </x14:conditionalFormatting>
      </x14:conditionalFormattings>
    </ex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sheetPr>
  <dimension ref="B1:G18"/>
  <sheetViews>
    <sheetView showGridLines="0" workbookViewId="0">
      <selection activeCell="J20" sqref="J20"/>
    </sheetView>
  </sheetViews>
  <sheetFormatPr defaultColWidth="8.85546875" defaultRowHeight="12.75" x14ac:dyDescent="0.2"/>
  <cols>
    <col min="1" max="1" width="2.28515625" customWidth="1"/>
    <col min="2" max="2" width="46" customWidth="1"/>
    <col min="3" max="3" width="39.42578125" customWidth="1"/>
    <col min="4" max="4" width="8.85546875" hidden="1" customWidth="1"/>
    <col min="5" max="5" width="3.42578125" customWidth="1"/>
    <col min="11" max="11" width="11" bestFit="1" customWidth="1"/>
  </cols>
  <sheetData>
    <row r="1" spans="2:7" ht="34.5" thickBot="1" x14ac:dyDescent="0.25">
      <c r="B1" s="49" t="s">
        <v>144</v>
      </c>
      <c r="C1" s="70" t="s">
        <v>149</v>
      </c>
      <c r="D1" s="68" t="s">
        <v>307</v>
      </c>
    </row>
    <row r="2" spans="2:7" ht="43.5" thickTop="1" x14ac:dyDescent="0.2">
      <c r="B2" s="130" t="s">
        <v>283</v>
      </c>
      <c r="C2" s="130"/>
    </row>
    <row r="3" spans="2:7" ht="19.5" x14ac:dyDescent="0.2">
      <c r="B3" s="176" t="str">
        <f>IF(AutomationCount/AutomationEntry=1,"Step Complete","Step Incomplete")</f>
        <v>Step Incomplete</v>
      </c>
      <c r="C3" s="176"/>
      <c r="D3" s="84"/>
      <c r="E3" s="84"/>
      <c r="F3" s="84"/>
    </row>
    <row r="4" spans="2:7" ht="24.75" x14ac:dyDescent="0.2">
      <c r="B4" s="156">
        <f>AutomationCount/AutomationEntry</f>
        <v>0</v>
      </c>
      <c r="C4" s="158"/>
      <c r="D4" s="87"/>
      <c r="E4" s="88"/>
      <c r="F4" s="88"/>
    </row>
    <row r="5" spans="2:7" ht="19.5" x14ac:dyDescent="0.2">
      <c r="B5" s="94" t="s">
        <v>299</v>
      </c>
      <c r="C5" s="93" t="str">
        <f>IF(SUM('1 - Instructions'!E22:E25)=4,"ready for submission","not ready for submission")</f>
        <v>not ready for submission</v>
      </c>
      <c r="D5" s="83"/>
    </row>
    <row r="6" spans="2:7" ht="42.75" customHeight="1" x14ac:dyDescent="0.2">
      <c r="B6" s="171" t="s">
        <v>296</v>
      </c>
      <c r="C6" s="172"/>
    </row>
    <row r="7" spans="2:7" ht="37.5" customHeight="1" x14ac:dyDescent="0.2">
      <c r="B7" s="175" t="str">
        <f>IF(D7,"You indicated earlier that this is a historical dataset. You do not have to fill out this portion of the submission packet if the dataset will not be published on a regular basis","")</f>
        <v/>
      </c>
      <c r="C7" s="175"/>
      <c r="D7" t="b">
        <f>IF('3 - Metadata'!E20="Not updated (historical only)",TRUE)</f>
        <v>0</v>
      </c>
    </row>
    <row r="8" spans="2:7" ht="42" customHeight="1" x14ac:dyDescent="0.2">
      <c r="B8" s="78" t="s">
        <v>305</v>
      </c>
      <c r="C8" s="62"/>
      <c r="E8" s="96">
        <f>IF($D$7,1,IF(ISBLANK(C8),0,1))</f>
        <v>0</v>
      </c>
    </row>
    <row r="9" spans="2:7" ht="30.75" customHeight="1" x14ac:dyDescent="0.2">
      <c r="B9" s="78" t="s">
        <v>306</v>
      </c>
      <c r="C9" s="62"/>
      <c r="E9" s="96">
        <f t="shared" ref="E9:E17" si="0">IF($D$7,1,IF(ISBLANK(C9),0,1))</f>
        <v>0</v>
      </c>
    </row>
    <row r="10" spans="2:7" ht="18" customHeight="1" x14ac:dyDescent="0.2">
      <c r="B10" s="78" t="s">
        <v>295</v>
      </c>
      <c r="C10" s="62"/>
      <c r="E10" s="96">
        <f>IF($D$7,1,IF(C9="Other",IF(ISBLANK(C10),0,1),1))</f>
        <v>1</v>
      </c>
    </row>
    <row r="11" spans="2:7" ht="19.5" customHeight="1" x14ac:dyDescent="0.2">
      <c r="B11" s="78" t="s">
        <v>277</v>
      </c>
      <c r="C11" s="76"/>
      <c r="E11" s="96">
        <f t="shared" si="0"/>
        <v>0</v>
      </c>
    </row>
    <row r="12" spans="2:7" ht="25.5" x14ac:dyDescent="0.2">
      <c r="B12" s="78" t="s">
        <v>278</v>
      </c>
      <c r="C12" s="62"/>
      <c r="E12" s="96">
        <f t="shared" si="0"/>
        <v>0</v>
      </c>
    </row>
    <row r="13" spans="2:7" ht="42" customHeight="1" x14ac:dyDescent="0.2">
      <c r="B13" s="78" t="s">
        <v>279</v>
      </c>
      <c r="C13" s="62"/>
      <c r="E13" s="96">
        <f t="shared" si="0"/>
        <v>0</v>
      </c>
      <c r="G13" s="95"/>
    </row>
    <row r="14" spans="2:7" ht="21.95" customHeight="1" x14ac:dyDescent="0.2">
      <c r="B14" s="173" t="s">
        <v>280</v>
      </c>
      <c r="C14" s="174"/>
      <c r="E14" s="96"/>
    </row>
    <row r="15" spans="2:7" ht="21.95" customHeight="1" x14ac:dyDescent="0.2">
      <c r="B15" s="75" t="s">
        <v>281</v>
      </c>
      <c r="C15" s="62"/>
      <c r="E15" s="96">
        <f t="shared" si="0"/>
        <v>0</v>
      </c>
    </row>
    <row r="16" spans="2:7" ht="21.95" customHeight="1" x14ac:dyDescent="0.2">
      <c r="B16" s="75" t="s">
        <v>1</v>
      </c>
      <c r="C16" s="62"/>
      <c r="E16" s="96">
        <f t="shared" si="0"/>
        <v>0</v>
      </c>
    </row>
    <row r="17" spans="2:5" ht="21.95" customHeight="1" x14ac:dyDescent="0.2">
      <c r="B17" s="75" t="s">
        <v>282</v>
      </c>
      <c r="C17" s="36"/>
      <c r="E17" s="96">
        <f t="shared" si="0"/>
        <v>0</v>
      </c>
    </row>
    <row r="18" spans="2:5" hidden="1" x14ac:dyDescent="0.2">
      <c r="B18" s="50"/>
      <c r="C18" s="50"/>
      <c r="E18">
        <f>IF(E9=0,-1,0)</f>
        <v>-1</v>
      </c>
    </row>
  </sheetData>
  <mergeCells count="6">
    <mergeCell ref="B2:C2"/>
    <mergeCell ref="B6:C6"/>
    <mergeCell ref="B14:C14"/>
    <mergeCell ref="B7:C7"/>
    <mergeCell ref="B4:C4"/>
    <mergeCell ref="B3:C3"/>
  </mergeCells>
  <conditionalFormatting sqref="B8:C17">
    <cfRule type="expression" dxfId="13" priority="9">
      <formula>$D$7</formula>
    </cfRule>
  </conditionalFormatting>
  <conditionalFormatting sqref="B7:C7">
    <cfRule type="expression" dxfId="12" priority="8">
      <formula>LEN($B$7)&gt;0</formula>
    </cfRule>
  </conditionalFormatting>
  <conditionalFormatting sqref="B4">
    <cfRule type="dataBar" priority="5">
      <dataBar>
        <cfvo type="num" val="0"/>
        <cfvo type="num" val="1"/>
        <color rgb="FF008AEF"/>
      </dataBar>
      <extLst>
        <ext xmlns:x14="http://schemas.microsoft.com/office/spreadsheetml/2009/9/main" uri="{B025F937-C7B1-47D3-B67F-A62EFF666E3E}">
          <x14:id>{669EB054-5303-4356-BD03-56C28029786D}</x14:id>
        </ext>
      </extLst>
    </cfRule>
  </conditionalFormatting>
  <conditionalFormatting sqref="B3">
    <cfRule type="containsText" dxfId="11" priority="3" operator="containsText" text="Step Complete">
      <formula>NOT(ISERROR(SEARCH("Step Complete",B3)))</formula>
    </cfRule>
    <cfRule type="containsText" dxfId="10" priority="4" operator="containsText" text="Step Incomplete">
      <formula>NOT(ISERROR(SEARCH("Step Incomplete",B3)))</formula>
    </cfRule>
  </conditionalFormatting>
  <conditionalFormatting sqref="C5">
    <cfRule type="notContainsText" dxfId="9" priority="1" operator="notContains" text="not">
      <formula>ISERROR(SEARCH("not",C5))</formula>
    </cfRule>
    <cfRule type="expression" dxfId="8" priority="2">
      <formula>$B$3="Step Incomplete"</formula>
    </cfRule>
  </conditionalFormatting>
  <dataValidations count="4">
    <dataValidation type="list" allowBlank="1" showInputMessage="1" showErrorMessage="1" sqref="C12">
      <formula1>"Yes,No,Current Migration in Process"</formula1>
    </dataValidation>
    <dataValidation type="list" allowBlank="1" showInputMessage="1" showErrorMessage="1" sqref="C9">
      <formula1>DataProducts</formula1>
    </dataValidation>
    <dataValidation type="list" allowBlank="1" showInputMessage="1" showErrorMessage="1" promptTitle="Data source location" prompt="Is the data source hosted by the City or is it hosted elsewhere." sqref="C11">
      <formula1>"Yes,No"</formula1>
    </dataValidation>
    <dataValidation type="list" allowBlank="1" showInputMessage="1" showErrorMessage="1" sqref="C8 C13">
      <formula1>"Yes,No,Unsure"</formula1>
    </dataValidation>
  </dataValidations>
  <hyperlinks>
    <hyperlink ref="C1" location="'1 - Instructions'!A1" display="Return to Instructions"/>
    <hyperlink ref="B5" location="'4 - Field Documentation'!A1" display="&lt;&lt; prev"/>
    <hyperlink ref="D1" r:id="rId1"/>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Save_Copies">
                <anchor moveWithCells="1" sizeWithCells="1">
                  <from>
                    <xdr:col>1</xdr:col>
                    <xdr:colOff>28575</xdr:colOff>
                    <xdr:row>19</xdr:row>
                    <xdr:rowOff>38100</xdr:rowOff>
                  </from>
                  <to>
                    <xdr:col>4</xdr:col>
                    <xdr:colOff>9525</xdr:colOff>
                    <xdr:row>21</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69EB054-5303-4356-BD03-56C28029786D}">
            <x14:dataBar minLength="0" maxLength="100" gradient="0">
              <x14:cfvo type="num">
                <xm:f>0</xm:f>
              </x14:cfvo>
              <x14:cfvo type="num">
                <xm:f>1</xm:f>
              </x14:cfvo>
              <x14:negativeFillColor rgb="FFFF0000"/>
              <x14:axisColor rgb="FF000000"/>
            </x14:dataBar>
          </x14:cfRule>
          <xm:sqref>B4</xm:sqref>
        </x14:conditionalFormatting>
        <x14:conditionalFormatting xmlns:xm="http://schemas.microsoft.com/office/excel/2006/main">
          <x14:cfRule type="iconSet" priority="6" id="{99071D69-837E-449E-BABC-9B7AA89A2C2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E15:E17</xm:sqref>
        </x14:conditionalFormatting>
        <x14:conditionalFormatting xmlns:xm="http://schemas.microsoft.com/office/excel/2006/main">
          <x14:cfRule type="iconSet" priority="23" id="{A412F18A-11C4-4CDF-B378-65209A3EC33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E8:E13</xm:sqref>
        </x14:conditionalFormatting>
      </x14:conditionalFormatting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249977111117893"/>
  </sheetPr>
  <dimension ref="B3"/>
  <sheetViews>
    <sheetView workbookViewId="0"/>
  </sheetViews>
  <sheetFormatPr defaultColWidth="8.85546875" defaultRowHeight="12.75" x14ac:dyDescent="0.2"/>
  <cols>
    <col min="2" max="2" width="25.85546875" customWidth="1"/>
  </cols>
  <sheetData>
    <row r="3" spans="2:2" x14ac:dyDescent="0.2">
      <c r="B3" s="50" t="s">
        <v>276</v>
      </c>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5"/>
  <sheetViews>
    <sheetView workbookViewId="0">
      <selection activeCell="B14" sqref="B14"/>
    </sheetView>
  </sheetViews>
  <sheetFormatPr defaultRowHeight="12.75" x14ac:dyDescent="0.2"/>
  <cols>
    <col min="1" max="1" width="38.28515625" customWidth="1"/>
    <col min="2" max="2" width="65.5703125" customWidth="1"/>
  </cols>
  <sheetData>
    <row r="1" spans="1:2" x14ac:dyDescent="0.2">
      <c r="A1" s="3" t="s">
        <v>420</v>
      </c>
    </row>
    <row r="2" spans="1:2" ht="60" customHeight="1" x14ac:dyDescent="0.2">
      <c r="A2" s="152" t="s">
        <v>421</v>
      </c>
      <c r="B2" s="152"/>
    </row>
    <row r="3" spans="1:2" x14ac:dyDescent="0.2">
      <c r="A3" s="119" t="s">
        <v>13</v>
      </c>
      <c r="B3" s="119" t="s">
        <v>5</v>
      </c>
    </row>
    <row r="4" spans="1:2" x14ac:dyDescent="0.2">
      <c r="A4" s="108" t="s">
        <v>39</v>
      </c>
      <c r="B4" s="108" t="s">
        <v>410</v>
      </c>
    </row>
    <row r="5" spans="1:2" ht="25.5" x14ac:dyDescent="0.2">
      <c r="A5" s="108" t="s">
        <v>31</v>
      </c>
      <c r="B5" s="108" t="s">
        <v>411</v>
      </c>
    </row>
    <row r="6" spans="1:2" x14ac:dyDescent="0.2">
      <c r="A6" s="108" t="s">
        <v>58</v>
      </c>
      <c r="B6" s="108" t="s">
        <v>412</v>
      </c>
    </row>
    <row r="7" spans="1:2" x14ac:dyDescent="0.2">
      <c r="A7" s="108" t="s">
        <v>55</v>
      </c>
      <c r="B7" s="108" t="s">
        <v>413</v>
      </c>
    </row>
    <row r="8" spans="1:2" ht="25.5" x14ac:dyDescent="0.2">
      <c r="A8" s="108" t="s">
        <v>49</v>
      </c>
      <c r="B8" s="108" t="s">
        <v>414</v>
      </c>
    </row>
    <row r="9" spans="1:2" ht="25.5" x14ac:dyDescent="0.2">
      <c r="A9" s="108" t="s">
        <v>46</v>
      </c>
      <c r="B9" s="108" t="s">
        <v>415</v>
      </c>
    </row>
    <row r="10" spans="1:2" ht="12.75" customHeight="1" x14ac:dyDescent="0.2">
      <c r="A10" s="108" t="s">
        <v>43</v>
      </c>
      <c r="B10" s="108" t="s">
        <v>416</v>
      </c>
    </row>
    <row r="11" spans="1:2" ht="25.5" x14ac:dyDescent="0.2">
      <c r="A11" s="108" t="s">
        <v>52</v>
      </c>
      <c r="B11" s="108" t="s">
        <v>417</v>
      </c>
    </row>
    <row r="12" spans="1:2" ht="25.5" x14ac:dyDescent="0.2">
      <c r="A12" s="108" t="s">
        <v>27</v>
      </c>
      <c r="B12" s="108" t="s">
        <v>418</v>
      </c>
    </row>
    <row r="13" spans="1:2" x14ac:dyDescent="0.2">
      <c r="A13" s="108" t="s">
        <v>35</v>
      </c>
      <c r="B13" s="108" t="s">
        <v>419</v>
      </c>
    </row>
    <row r="14" spans="1:2" ht="12.75" customHeight="1" x14ac:dyDescent="0.2">
      <c r="B14" s="120" t="s">
        <v>422</v>
      </c>
    </row>
    <row r="15" spans="1:2" ht="12.75" customHeight="1" x14ac:dyDescent="0.2"/>
  </sheetData>
  <mergeCells count="1">
    <mergeCell ref="A2:B2"/>
  </mergeCells>
  <hyperlinks>
    <hyperlink ref="B14" location="'3 - Metadata'!A1" display="Return to metadata"/>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
  <sheetViews>
    <sheetView workbookViewId="0">
      <selection activeCell="C8" sqref="C8"/>
    </sheetView>
  </sheetViews>
  <sheetFormatPr defaultColWidth="8.85546875" defaultRowHeight="12.75" x14ac:dyDescent="0.2"/>
  <cols>
    <col min="1" max="1" width="15.28515625" bestFit="1" customWidth="1"/>
    <col min="2" max="2" width="62.42578125" customWidth="1"/>
    <col min="3" max="3" width="12.140625" bestFit="1" customWidth="1"/>
  </cols>
  <sheetData>
    <row r="1" spans="1:4" x14ac:dyDescent="0.2">
      <c r="A1" s="3" t="s">
        <v>269</v>
      </c>
      <c r="D1" s="68"/>
    </row>
    <row r="2" spans="1:4" x14ac:dyDescent="0.2">
      <c r="A2" s="50" t="s">
        <v>445</v>
      </c>
    </row>
    <row r="5" spans="1:4" x14ac:dyDescent="0.2">
      <c r="A5" s="3" t="s">
        <v>284</v>
      </c>
      <c r="B5" s="3" t="s">
        <v>5</v>
      </c>
      <c r="C5" s="3" t="s">
        <v>285</v>
      </c>
    </row>
    <row r="6" spans="1:4" ht="77.25" customHeight="1" x14ac:dyDescent="0.2">
      <c r="A6" s="77" t="s">
        <v>270</v>
      </c>
      <c r="B6" s="71" t="s">
        <v>294</v>
      </c>
      <c r="C6" s="111">
        <v>41964</v>
      </c>
    </row>
    <row r="7" spans="1:4" ht="121.5" customHeight="1" x14ac:dyDescent="0.2">
      <c r="A7" s="77" t="s">
        <v>297</v>
      </c>
      <c r="B7" s="79" t="s">
        <v>303</v>
      </c>
      <c r="C7" s="111">
        <v>41977</v>
      </c>
    </row>
    <row r="8" spans="1:4" ht="90" customHeight="1" x14ac:dyDescent="0.2">
      <c r="A8" s="77" t="s">
        <v>298</v>
      </c>
      <c r="B8" s="79" t="s">
        <v>308</v>
      </c>
      <c r="C8" s="111">
        <v>41983</v>
      </c>
    </row>
    <row r="9" spans="1:4" ht="51" x14ac:dyDescent="0.2">
      <c r="A9" s="77" t="s">
        <v>366</v>
      </c>
      <c r="B9" s="100" t="s">
        <v>367</v>
      </c>
      <c r="C9" s="111">
        <v>41988</v>
      </c>
    </row>
    <row r="10" spans="1:4" ht="105.75" customHeight="1" x14ac:dyDescent="0.2">
      <c r="A10" s="77" t="s">
        <v>381</v>
      </c>
      <c r="B10" s="79" t="s">
        <v>382</v>
      </c>
      <c r="C10" s="111">
        <v>42053</v>
      </c>
    </row>
    <row r="11" spans="1:4" ht="51" x14ac:dyDescent="0.2">
      <c r="A11" s="77" t="s">
        <v>445</v>
      </c>
      <c r="B11" s="100" t="s">
        <v>446</v>
      </c>
      <c r="C11" s="111">
        <v>42160</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55"/>
  <sheetViews>
    <sheetView workbookViewId="0">
      <selection activeCell="C45" sqref="C45"/>
    </sheetView>
  </sheetViews>
  <sheetFormatPr defaultColWidth="14.42578125" defaultRowHeight="15.75" customHeight="1" x14ac:dyDescent="0.2"/>
  <cols>
    <col min="1" max="1" width="42.42578125" customWidth="1"/>
    <col min="2" max="5" width="35.42578125" customWidth="1"/>
    <col min="6" max="6" width="25.7109375" customWidth="1"/>
    <col min="7" max="7" width="23.85546875" customWidth="1"/>
    <col min="8" max="8" width="20.42578125" customWidth="1"/>
    <col min="9" max="10" width="16.28515625" customWidth="1"/>
    <col min="11" max="11" width="17.7109375" customWidth="1"/>
    <col min="13" max="13" width="19.7109375" bestFit="1" customWidth="1"/>
    <col min="14" max="14" width="26" bestFit="1" customWidth="1"/>
    <col min="15" max="15" width="29.42578125" customWidth="1"/>
    <col min="16" max="16" width="19" customWidth="1"/>
  </cols>
  <sheetData>
    <row r="1" spans="1:16" ht="15.75" customHeight="1" x14ac:dyDescent="0.2">
      <c r="A1" t="s">
        <v>22</v>
      </c>
      <c r="B1" t="s">
        <v>23</v>
      </c>
      <c r="C1" t="s">
        <v>165</v>
      </c>
      <c r="D1" t="s">
        <v>166</v>
      </c>
      <c r="E1" s="98" t="s">
        <v>310</v>
      </c>
      <c r="F1" t="s">
        <v>122</v>
      </c>
      <c r="G1" t="s">
        <v>123</v>
      </c>
      <c r="H1" t="s">
        <v>24</v>
      </c>
      <c r="I1" t="s">
        <v>25</v>
      </c>
      <c r="J1" s="1" t="s">
        <v>127</v>
      </c>
      <c r="K1" s="1" t="s">
        <v>129</v>
      </c>
      <c r="L1" s="1" t="s">
        <v>128</v>
      </c>
      <c r="M1" t="s">
        <v>26</v>
      </c>
      <c r="N1" s="50" t="s">
        <v>271</v>
      </c>
      <c r="O1" s="50" t="s">
        <v>286</v>
      </c>
      <c r="P1" s="105" t="s">
        <v>425</v>
      </c>
    </row>
    <row r="2" spans="1:16" ht="12.75" customHeight="1" x14ac:dyDescent="0.2">
      <c r="A2" t="s">
        <v>27</v>
      </c>
      <c r="B2">
        <v>311</v>
      </c>
      <c r="C2" s="105" t="s">
        <v>435</v>
      </c>
      <c r="D2" s="6" t="s">
        <v>436</v>
      </c>
      <c r="E2">
        <v>311</v>
      </c>
      <c r="F2" t="s">
        <v>121</v>
      </c>
      <c r="G2" t="s">
        <v>111</v>
      </c>
      <c r="H2" t="s">
        <v>28</v>
      </c>
      <c r="I2" t="s">
        <v>29</v>
      </c>
      <c r="J2" s="1" t="s">
        <v>4</v>
      </c>
      <c r="K2" t="s">
        <v>30</v>
      </c>
      <c r="M2" s="101" t="s">
        <v>371</v>
      </c>
      <c r="N2" t="s">
        <v>372</v>
      </c>
      <c r="O2" s="50" t="s">
        <v>287</v>
      </c>
      <c r="P2" s="105" t="s">
        <v>430</v>
      </c>
    </row>
    <row r="3" spans="1:16" ht="12.75" customHeight="1" x14ac:dyDescent="0.2">
      <c r="A3" t="s">
        <v>31</v>
      </c>
      <c r="B3" t="s">
        <v>32</v>
      </c>
      <c r="C3" t="s">
        <v>167</v>
      </c>
      <c r="D3" t="s">
        <v>217</v>
      </c>
      <c r="E3" t="s">
        <v>311</v>
      </c>
      <c r="F3" t="s">
        <v>111</v>
      </c>
      <c r="G3" t="s">
        <v>112</v>
      </c>
      <c r="H3" t="s">
        <v>33</v>
      </c>
      <c r="J3" s="1" t="s">
        <v>126</v>
      </c>
      <c r="K3" t="s">
        <v>34</v>
      </c>
      <c r="L3" s="1" t="s">
        <v>73</v>
      </c>
      <c r="M3" s="101" t="s">
        <v>289</v>
      </c>
      <c r="N3" t="s">
        <v>373</v>
      </c>
      <c r="O3" s="50" t="s">
        <v>288</v>
      </c>
      <c r="P3" s="105" t="s">
        <v>431</v>
      </c>
    </row>
    <row r="4" spans="1:16" ht="12.75" customHeight="1" x14ac:dyDescent="0.2">
      <c r="A4" t="s">
        <v>35</v>
      </c>
      <c r="B4" t="s">
        <v>36</v>
      </c>
      <c r="C4" t="s">
        <v>168</v>
      </c>
      <c r="D4" t="s">
        <v>218</v>
      </c>
      <c r="E4" t="s">
        <v>312</v>
      </c>
      <c r="F4" t="s">
        <v>112</v>
      </c>
      <c r="G4" t="s">
        <v>41</v>
      </c>
      <c r="H4" t="s">
        <v>37</v>
      </c>
      <c r="K4" t="s">
        <v>38</v>
      </c>
      <c r="M4" s="101" t="s">
        <v>369</v>
      </c>
      <c r="O4" s="50" t="s">
        <v>289</v>
      </c>
      <c r="P4" s="105" t="s">
        <v>426</v>
      </c>
    </row>
    <row r="5" spans="1:16" ht="12.75" customHeight="1" x14ac:dyDescent="0.2">
      <c r="A5" t="s">
        <v>39</v>
      </c>
      <c r="B5" t="s">
        <v>40</v>
      </c>
      <c r="C5" t="s">
        <v>169</v>
      </c>
      <c r="D5" t="s">
        <v>219</v>
      </c>
      <c r="E5" t="s">
        <v>313</v>
      </c>
      <c r="F5" t="s">
        <v>41</v>
      </c>
      <c r="G5" t="s">
        <v>113</v>
      </c>
      <c r="K5" t="s">
        <v>42</v>
      </c>
      <c r="M5" s="101" t="s">
        <v>287</v>
      </c>
      <c r="O5" s="50" t="s">
        <v>290</v>
      </c>
      <c r="P5" s="105" t="s">
        <v>432</v>
      </c>
    </row>
    <row r="6" spans="1:16" ht="12.75" customHeight="1" x14ac:dyDescent="0.2">
      <c r="A6" t="s">
        <v>43</v>
      </c>
      <c r="B6" t="s">
        <v>44</v>
      </c>
      <c r="C6" t="s">
        <v>170</v>
      </c>
      <c r="D6" t="s">
        <v>220</v>
      </c>
      <c r="E6" t="s">
        <v>314</v>
      </c>
      <c r="F6" t="s">
        <v>113</v>
      </c>
      <c r="G6" t="s">
        <v>114</v>
      </c>
      <c r="K6" t="s">
        <v>45</v>
      </c>
      <c r="M6" s="101" t="s">
        <v>288</v>
      </c>
      <c r="O6" s="50" t="s">
        <v>291</v>
      </c>
      <c r="P6" s="105" t="s">
        <v>427</v>
      </c>
    </row>
    <row r="7" spans="1:16" ht="12.75" customHeight="1" x14ac:dyDescent="0.2">
      <c r="A7" t="s">
        <v>46</v>
      </c>
      <c r="B7" t="s">
        <v>47</v>
      </c>
      <c r="C7" t="s">
        <v>171</v>
      </c>
      <c r="D7" t="s">
        <v>221</v>
      </c>
      <c r="E7" t="s">
        <v>315</v>
      </c>
      <c r="F7" t="s">
        <v>114</v>
      </c>
      <c r="G7" t="s">
        <v>115</v>
      </c>
      <c r="K7" t="s">
        <v>48</v>
      </c>
      <c r="M7" s="101" t="s">
        <v>290</v>
      </c>
      <c r="O7" s="50" t="s">
        <v>292</v>
      </c>
      <c r="P7" s="105" t="s">
        <v>7</v>
      </c>
    </row>
    <row r="8" spans="1:16" ht="12.75" customHeight="1" x14ac:dyDescent="0.2">
      <c r="A8" t="s">
        <v>49</v>
      </c>
      <c r="B8" t="s">
        <v>50</v>
      </c>
      <c r="C8" t="s">
        <v>172</v>
      </c>
      <c r="D8" t="s">
        <v>222</v>
      </c>
      <c r="E8" t="s">
        <v>316</v>
      </c>
      <c r="F8" t="s">
        <v>115</v>
      </c>
      <c r="G8" t="s">
        <v>116</v>
      </c>
      <c r="K8" t="s">
        <v>51</v>
      </c>
      <c r="M8" s="101" t="s">
        <v>292</v>
      </c>
      <c r="O8" s="50" t="s">
        <v>293</v>
      </c>
      <c r="P8" s="105"/>
    </row>
    <row r="9" spans="1:16" ht="12.75" customHeight="1" x14ac:dyDescent="0.2">
      <c r="A9" t="s">
        <v>52</v>
      </c>
      <c r="B9" t="s">
        <v>53</v>
      </c>
      <c r="C9" t="s">
        <v>173</v>
      </c>
      <c r="D9" t="s">
        <v>223</v>
      </c>
      <c r="E9" t="s">
        <v>317</v>
      </c>
      <c r="F9" t="s">
        <v>116</v>
      </c>
      <c r="G9" t="s">
        <v>117</v>
      </c>
      <c r="K9" t="s">
        <v>54</v>
      </c>
      <c r="M9" s="101" t="s">
        <v>368</v>
      </c>
      <c r="O9" s="50" t="s">
        <v>7</v>
      </c>
      <c r="P9" s="105"/>
    </row>
    <row r="10" spans="1:16" ht="12.75" customHeight="1" x14ac:dyDescent="0.2">
      <c r="A10" t="s">
        <v>55</v>
      </c>
      <c r="B10" t="s">
        <v>56</v>
      </c>
      <c r="C10" t="s">
        <v>174</v>
      </c>
      <c r="D10" t="s">
        <v>224</v>
      </c>
      <c r="E10" t="s">
        <v>318</v>
      </c>
      <c r="F10" t="s">
        <v>117</v>
      </c>
      <c r="G10" t="s">
        <v>118</v>
      </c>
      <c r="K10" t="s">
        <v>57</v>
      </c>
      <c r="M10" s="101" t="s">
        <v>293</v>
      </c>
      <c r="P10" s="105"/>
    </row>
    <row r="11" spans="1:16" ht="12.75" customHeight="1" x14ac:dyDescent="0.2">
      <c r="A11" t="s">
        <v>58</v>
      </c>
      <c r="B11" t="s">
        <v>59</v>
      </c>
      <c r="C11" t="s">
        <v>175</v>
      </c>
      <c r="D11" t="s">
        <v>225</v>
      </c>
      <c r="E11" t="s">
        <v>319</v>
      </c>
      <c r="F11" t="s">
        <v>118</v>
      </c>
      <c r="G11" t="s">
        <v>119</v>
      </c>
      <c r="K11" t="s">
        <v>60</v>
      </c>
      <c r="M11" s="101" t="s">
        <v>370</v>
      </c>
      <c r="P11" s="105"/>
    </row>
    <row r="12" spans="1:16" ht="12.75" customHeight="1" x14ac:dyDescent="0.2">
      <c r="B12" t="s">
        <v>61</v>
      </c>
      <c r="C12" t="s">
        <v>176</v>
      </c>
      <c r="D12" t="s">
        <v>226</v>
      </c>
      <c r="E12" t="s">
        <v>320</v>
      </c>
      <c r="F12" t="s">
        <v>119</v>
      </c>
      <c r="G12" t="s">
        <v>120</v>
      </c>
      <c r="K12" t="s">
        <v>62</v>
      </c>
      <c r="M12" s="101" t="s">
        <v>7</v>
      </c>
    </row>
    <row r="13" spans="1:16" ht="12.75" customHeight="1" x14ac:dyDescent="0.2">
      <c r="B13" t="s">
        <v>63</v>
      </c>
      <c r="C13" t="s">
        <v>177</v>
      </c>
      <c r="D13" t="s">
        <v>227</v>
      </c>
      <c r="E13" t="s">
        <v>321</v>
      </c>
      <c r="F13" t="s">
        <v>120</v>
      </c>
      <c r="G13" t="s">
        <v>66</v>
      </c>
      <c r="K13" t="s">
        <v>64</v>
      </c>
    </row>
    <row r="14" spans="1:16" ht="12.75" customHeight="1" x14ac:dyDescent="0.2">
      <c r="B14" t="s">
        <v>65</v>
      </c>
      <c r="C14" t="s">
        <v>178</v>
      </c>
      <c r="D14" t="s">
        <v>228</v>
      </c>
      <c r="E14" t="s">
        <v>322</v>
      </c>
      <c r="F14" t="s">
        <v>66</v>
      </c>
      <c r="K14" t="s">
        <v>67</v>
      </c>
    </row>
    <row r="15" spans="1:16" ht="12.75" customHeight="1" x14ac:dyDescent="0.2">
      <c r="B15" t="s">
        <v>68</v>
      </c>
      <c r="C15" t="s">
        <v>179</v>
      </c>
      <c r="D15" t="s">
        <v>229</v>
      </c>
      <c r="E15" t="s">
        <v>323</v>
      </c>
      <c r="K15" t="s">
        <v>69</v>
      </c>
    </row>
    <row r="16" spans="1:16" ht="12.75" customHeight="1" x14ac:dyDescent="0.2">
      <c r="B16" t="s">
        <v>70</v>
      </c>
      <c r="C16" t="s">
        <v>180</v>
      </c>
      <c r="D16" t="s">
        <v>230</v>
      </c>
      <c r="E16" t="s">
        <v>324</v>
      </c>
      <c r="K16" t="s">
        <v>71</v>
      </c>
    </row>
    <row r="17" spans="2:5" ht="12.75" customHeight="1" x14ac:dyDescent="0.2">
      <c r="B17" t="s">
        <v>72</v>
      </c>
      <c r="C17" t="s">
        <v>181</v>
      </c>
      <c r="D17" t="s">
        <v>231</v>
      </c>
      <c r="E17" t="s">
        <v>325</v>
      </c>
    </row>
    <row r="18" spans="2:5" ht="12.75" customHeight="1" x14ac:dyDescent="0.2">
      <c r="B18" t="s">
        <v>74</v>
      </c>
      <c r="C18" t="s">
        <v>182</v>
      </c>
      <c r="D18" t="s">
        <v>232</v>
      </c>
      <c r="E18" t="s">
        <v>326</v>
      </c>
    </row>
    <row r="19" spans="2:5" ht="12.75" customHeight="1" x14ac:dyDescent="0.2">
      <c r="B19" t="s">
        <v>75</v>
      </c>
      <c r="C19" t="s">
        <v>183</v>
      </c>
      <c r="D19" s="6" t="s">
        <v>401</v>
      </c>
      <c r="E19" t="s">
        <v>327</v>
      </c>
    </row>
    <row r="20" spans="2:5" ht="12.75" customHeight="1" x14ac:dyDescent="0.2">
      <c r="B20" t="s">
        <v>76</v>
      </c>
      <c r="C20" t="s">
        <v>184</v>
      </c>
      <c r="D20" t="s">
        <v>233</v>
      </c>
      <c r="E20" t="s">
        <v>328</v>
      </c>
    </row>
    <row r="21" spans="2:5" ht="12.75" customHeight="1" x14ac:dyDescent="0.2">
      <c r="B21" t="s">
        <v>77</v>
      </c>
      <c r="C21" t="s">
        <v>185</v>
      </c>
      <c r="D21" t="s">
        <v>234</v>
      </c>
      <c r="E21" t="s">
        <v>329</v>
      </c>
    </row>
    <row r="22" spans="2:5" ht="12.75" customHeight="1" x14ac:dyDescent="0.2">
      <c r="B22" t="s">
        <v>78</v>
      </c>
      <c r="C22" t="s">
        <v>186</v>
      </c>
      <c r="D22" t="s">
        <v>235</v>
      </c>
      <c r="E22" t="s">
        <v>330</v>
      </c>
    </row>
    <row r="23" spans="2:5" ht="12.75" customHeight="1" x14ac:dyDescent="0.2">
      <c r="B23" t="s">
        <v>79</v>
      </c>
      <c r="C23" t="s">
        <v>187</v>
      </c>
      <c r="D23" t="s">
        <v>236</v>
      </c>
      <c r="E23" t="s">
        <v>331</v>
      </c>
    </row>
    <row r="24" spans="2:5" ht="12.75" customHeight="1" x14ac:dyDescent="0.2">
      <c r="B24" t="s">
        <v>80</v>
      </c>
      <c r="C24" t="s">
        <v>188</v>
      </c>
      <c r="D24" t="s">
        <v>237</v>
      </c>
      <c r="E24" t="s">
        <v>332</v>
      </c>
    </row>
    <row r="25" spans="2:5" ht="12.75" customHeight="1" x14ac:dyDescent="0.2">
      <c r="B25" t="s">
        <v>81</v>
      </c>
      <c r="C25" t="s">
        <v>189</v>
      </c>
      <c r="D25" t="s">
        <v>238</v>
      </c>
      <c r="E25" t="s">
        <v>333</v>
      </c>
    </row>
    <row r="26" spans="2:5" ht="12.75" customHeight="1" x14ac:dyDescent="0.2">
      <c r="B26" t="s">
        <v>82</v>
      </c>
      <c r="C26" t="s">
        <v>190</v>
      </c>
      <c r="D26" t="s">
        <v>239</v>
      </c>
      <c r="E26" t="s">
        <v>334</v>
      </c>
    </row>
    <row r="27" spans="2:5" ht="12.75" customHeight="1" x14ac:dyDescent="0.2">
      <c r="B27" t="s">
        <v>83</v>
      </c>
      <c r="C27" t="s">
        <v>191</v>
      </c>
      <c r="D27" t="s">
        <v>240</v>
      </c>
      <c r="E27" t="s">
        <v>335</v>
      </c>
    </row>
    <row r="28" spans="2:5" ht="12.75" customHeight="1" x14ac:dyDescent="0.2">
      <c r="B28" t="s">
        <v>84</v>
      </c>
      <c r="C28" t="s">
        <v>192</v>
      </c>
      <c r="D28" t="s">
        <v>241</v>
      </c>
      <c r="E28" t="s">
        <v>336</v>
      </c>
    </row>
    <row r="29" spans="2:5" ht="12.75" customHeight="1" x14ac:dyDescent="0.2">
      <c r="B29" t="s">
        <v>85</v>
      </c>
      <c r="C29" t="s">
        <v>193</v>
      </c>
      <c r="D29" t="s">
        <v>242</v>
      </c>
      <c r="E29" t="s">
        <v>337</v>
      </c>
    </row>
    <row r="30" spans="2:5" ht="12.75" customHeight="1" x14ac:dyDescent="0.2">
      <c r="B30" t="s">
        <v>86</v>
      </c>
      <c r="C30" t="s">
        <v>194</v>
      </c>
      <c r="D30" t="s">
        <v>243</v>
      </c>
      <c r="E30" t="s">
        <v>338</v>
      </c>
    </row>
    <row r="31" spans="2:5" ht="12.75" customHeight="1" x14ac:dyDescent="0.2">
      <c r="B31" t="s">
        <v>87</v>
      </c>
      <c r="C31" t="s">
        <v>195</v>
      </c>
      <c r="D31" t="s">
        <v>244</v>
      </c>
      <c r="E31" t="s">
        <v>339</v>
      </c>
    </row>
    <row r="32" spans="2:5" ht="12.75" customHeight="1" x14ac:dyDescent="0.2">
      <c r="B32" t="s">
        <v>88</v>
      </c>
      <c r="C32" t="s">
        <v>196</v>
      </c>
      <c r="D32" t="s">
        <v>245</v>
      </c>
      <c r="E32" t="s">
        <v>340</v>
      </c>
    </row>
    <row r="33" spans="2:5" ht="12.75" customHeight="1" x14ac:dyDescent="0.2">
      <c r="B33" t="s">
        <v>89</v>
      </c>
      <c r="C33" t="s">
        <v>197</v>
      </c>
      <c r="D33" t="s">
        <v>246</v>
      </c>
      <c r="E33" t="s">
        <v>341</v>
      </c>
    </row>
    <row r="34" spans="2:5" ht="12.75" customHeight="1" x14ac:dyDescent="0.2">
      <c r="B34" t="s">
        <v>90</v>
      </c>
      <c r="C34" t="s">
        <v>198</v>
      </c>
      <c r="D34" t="s">
        <v>247</v>
      </c>
      <c r="E34" t="s">
        <v>342</v>
      </c>
    </row>
    <row r="35" spans="2:5" ht="12.75" customHeight="1" x14ac:dyDescent="0.2">
      <c r="B35" t="s">
        <v>91</v>
      </c>
      <c r="C35" t="s">
        <v>199</v>
      </c>
      <c r="D35" t="s">
        <v>248</v>
      </c>
      <c r="E35" t="s">
        <v>343</v>
      </c>
    </row>
    <row r="36" spans="2:5" ht="12.75" customHeight="1" x14ac:dyDescent="0.2">
      <c r="B36" s="105" t="s">
        <v>399</v>
      </c>
      <c r="C36" s="105" t="s">
        <v>375</v>
      </c>
      <c r="D36" s="6" t="s">
        <v>400</v>
      </c>
      <c r="E36" s="105" t="s">
        <v>398</v>
      </c>
    </row>
    <row r="37" spans="2:5" ht="12.75" customHeight="1" x14ac:dyDescent="0.2">
      <c r="B37" t="s">
        <v>92</v>
      </c>
      <c r="C37" t="s">
        <v>200</v>
      </c>
      <c r="D37" t="s">
        <v>249</v>
      </c>
      <c r="E37" s="105" t="s">
        <v>398</v>
      </c>
    </row>
    <row r="38" spans="2:5" ht="12.75" customHeight="1" x14ac:dyDescent="0.2">
      <c r="B38" t="s">
        <v>93</v>
      </c>
      <c r="C38" t="s">
        <v>201</v>
      </c>
      <c r="D38" t="s">
        <v>250</v>
      </c>
      <c r="E38" t="s">
        <v>344</v>
      </c>
    </row>
    <row r="39" spans="2:5" ht="12.75" customHeight="1" x14ac:dyDescent="0.2">
      <c r="B39" t="s">
        <v>94</v>
      </c>
      <c r="C39" t="s">
        <v>202</v>
      </c>
      <c r="D39" t="s">
        <v>251</v>
      </c>
      <c r="E39" t="s">
        <v>345</v>
      </c>
    </row>
    <row r="40" spans="2:5" ht="12.75" customHeight="1" x14ac:dyDescent="0.2">
      <c r="B40" t="s">
        <v>95</v>
      </c>
      <c r="C40" t="s">
        <v>203</v>
      </c>
      <c r="D40" t="s">
        <v>252</v>
      </c>
      <c r="E40" t="s">
        <v>346</v>
      </c>
    </row>
    <row r="41" spans="2:5" ht="12.75" customHeight="1" x14ac:dyDescent="0.2">
      <c r="B41" t="s">
        <v>96</v>
      </c>
      <c r="C41" t="s">
        <v>9</v>
      </c>
      <c r="E41" t="s">
        <v>347</v>
      </c>
    </row>
    <row r="42" spans="2:5" ht="12.75" customHeight="1" x14ac:dyDescent="0.2">
      <c r="B42" t="s">
        <v>97</v>
      </c>
      <c r="C42" t="s">
        <v>204</v>
      </c>
      <c r="D42" t="s">
        <v>253</v>
      </c>
      <c r="E42" t="s">
        <v>348</v>
      </c>
    </row>
    <row r="43" spans="2:5" ht="12.75" customHeight="1" x14ac:dyDescent="0.2">
      <c r="B43" t="s">
        <v>98</v>
      </c>
      <c r="C43" t="s">
        <v>205</v>
      </c>
      <c r="D43" t="s">
        <v>254</v>
      </c>
      <c r="E43" t="s">
        <v>349</v>
      </c>
    </row>
    <row r="44" spans="2:5" ht="12.75" customHeight="1" x14ac:dyDescent="0.2">
      <c r="B44" t="s">
        <v>99</v>
      </c>
      <c r="C44" s="105" t="s">
        <v>444</v>
      </c>
      <c r="D44" s="6" t="s">
        <v>443</v>
      </c>
      <c r="E44" t="s">
        <v>350</v>
      </c>
    </row>
    <row r="45" spans="2:5" ht="12.75" customHeight="1" x14ac:dyDescent="0.2">
      <c r="B45" t="s">
        <v>100</v>
      </c>
      <c r="C45" t="s">
        <v>206</v>
      </c>
      <c r="D45" t="s">
        <v>255</v>
      </c>
      <c r="E45" t="s">
        <v>351</v>
      </c>
    </row>
    <row r="46" spans="2:5" ht="12.75" customHeight="1" x14ac:dyDescent="0.2">
      <c r="B46" t="s">
        <v>101</v>
      </c>
      <c r="C46" t="s">
        <v>207</v>
      </c>
      <c r="D46" t="s">
        <v>256</v>
      </c>
      <c r="E46" t="s">
        <v>352</v>
      </c>
    </row>
    <row r="47" spans="2:5" ht="12.75" customHeight="1" x14ac:dyDescent="0.2">
      <c r="B47" t="s">
        <v>102</v>
      </c>
      <c r="C47" t="s">
        <v>208</v>
      </c>
      <c r="D47" t="s">
        <v>257</v>
      </c>
      <c r="E47" t="s">
        <v>353</v>
      </c>
    </row>
    <row r="48" spans="2:5" ht="12.75" customHeight="1" x14ac:dyDescent="0.2">
      <c r="B48" t="s">
        <v>103</v>
      </c>
      <c r="C48" t="s">
        <v>209</v>
      </c>
      <c r="D48" t="s">
        <v>258</v>
      </c>
      <c r="E48" t="s">
        <v>354</v>
      </c>
    </row>
    <row r="49" spans="2:5" ht="12.75" customHeight="1" x14ac:dyDescent="0.2">
      <c r="B49" t="s">
        <v>104</v>
      </c>
      <c r="C49" t="s">
        <v>210</v>
      </c>
      <c r="D49" t="s">
        <v>259</v>
      </c>
      <c r="E49" t="s">
        <v>355</v>
      </c>
    </row>
    <row r="50" spans="2:5" ht="12.75" customHeight="1" x14ac:dyDescent="0.2">
      <c r="B50" t="s">
        <v>105</v>
      </c>
      <c r="C50" t="s">
        <v>211</v>
      </c>
      <c r="D50" t="s">
        <v>260</v>
      </c>
      <c r="E50" t="s">
        <v>356</v>
      </c>
    </row>
    <row r="51" spans="2:5" ht="12.75" customHeight="1" x14ac:dyDescent="0.2">
      <c r="B51" t="s">
        <v>106</v>
      </c>
      <c r="C51" t="s">
        <v>212</v>
      </c>
      <c r="D51" t="s">
        <v>261</v>
      </c>
      <c r="E51" t="s">
        <v>357</v>
      </c>
    </row>
    <row r="52" spans="2:5" ht="12.75" customHeight="1" x14ac:dyDescent="0.2">
      <c r="B52" t="s">
        <v>107</v>
      </c>
      <c r="C52" t="s">
        <v>213</v>
      </c>
      <c r="D52" t="s">
        <v>262</v>
      </c>
      <c r="E52" t="s">
        <v>358</v>
      </c>
    </row>
    <row r="53" spans="2:5" ht="12.75" customHeight="1" x14ac:dyDescent="0.2">
      <c r="B53" t="s">
        <v>108</v>
      </c>
      <c r="C53" t="s">
        <v>214</v>
      </c>
      <c r="D53" t="s">
        <v>263</v>
      </c>
      <c r="E53" t="s">
        <v>359</v>
      </c>
    </row>
    <row r="54" spans="2:5" ht="12.75" customHeight="1" x14ac:dyDescent="0.2">
      <c r="B54" t="s">
        <v>109</v>
      </c>
      <c r="C54" t="s">
        <v>215</v>
      </c>
      <c r="D54" t="s">
        <v>264</v>
      </c>
      <c r="E54" t="s">
        <v>360</v>
      </c>
    </row>
    <row r="55" spans="2:5" ht="15.75" customHeight="1" x14ac:dyDescent="0.2">
      <c r="B55" t="s">
        <v>110</v>
      </c>
      <c r="C55" t="s">
        <v>216</v>
      </c>
      <c r="D55" t="s">
        <v>265</v>
      </c>
      <c r="E55" t="s">
        <v>361</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8"/>
  <sheetViews>
    <sheetView workbookViewId="0">
      <selection activeCell="B10" sqref="B10"/>
    </sheetView>
  </sheetViews>
  <sheetFormatPr defaultRowHeight="12.75" x14ac:dyDescent="0.2"/>
  <cols>
    <col min="1" max="1" width="30.42578125" bestFit="1" customWidth="1"/>
    <col min="2" max="2" width="15.42578125" bestFit="1" customWidth="1"/>
  </cols>
  <sheetData>
    <row r="1" spans="1:2" x14ac:dyDescent="0.2">
      <c r="A1" s="98" t="s">
        <v>363</v>
      </c>
      <c r="B1">
        <f>'1 - Instructions'!D5</f>
        <v>0</v>
      </c>
    </row>
    <row r="2" spans="1:2" x14ac:dyDescent="0.2">
      <c r="A2" s="98" t="s">
        <v>364</v>
      </c>
      <c r="B2">
        <f>'1 - Instructions'!D6</f>
        <v>0</v>
      </c>
    </row>
    <row r="3" spans="1:2" x14ac:dyDescent="0.2">
      <c r="A3" s="98" t="s">
        <v>14</v>
      </c>
      <c r="B3">
        <f>'1 - Instructions'!D12</f>
        <v>0</v>
      </c>
    </row>
    <row r="4" spans="1:2" x14ac:dyDescent="0.2">
      <c r="A4" s="98" t="s">
        <v>362</v>
      </c>
      <c r="B4" t="str">
        <f>IFERROR(INDEX(Validations!E:E,MATCH(ConfigDoc!B3,Validations!B:B,0),0),"")</f>
        <v/>
      </c>
    </row>
    <row r="5" spans="1:2" x14ac:dyDescent="0.2">
      <c r="A5" s="98" t="s">
        <v>365</v>
      </c>
      <c r="B5">
        <f>'3 - Metadata'!E15</f>
        <v>0</v>
      </c>
    </row>
    <row r="6" spans="1:2" x14ac:dyDescent="0.2">
      <c r="A6" s="105" t="s">
        <v>383</v>
      </c>
      <c r="B6">
        <f>'1 - Instructions'!D8</f>
        <v>0</v>
      </c>
    </row>
    <row r="7" spans="1:2" x14ac:dyDescent="0.2">
      <c r="A7" s="105" t="s">
        <v>441</v>
      </c>
      <c r="B7">
        <f>'1 - Instructions'!D10</f>
        <v>0</v>
      </c>
    </row>
    <row r="8" spans="1:2" x14ac:dyDescent="0.2">
      <c r="A8" s="105" t="s">
        <v>442</v>
      </c>
      <c r="B8" t="str">
        <f>'1 - Instructions'!D11</f>
        <v/>
      </c>
    </row>
    <row r="9" spans="1:2" x14ac:dyDescent="0.2">
      <c r="A9" s="105" t="s">
        <v>384</v>
      </c>
      <c r="B9" t="str">
        <f>'1 - Instructions'!D14</f>
        <v>unknown</v>
      </c>
    </row>
    <row r="10" spans="1:2" x14ac:dyDescent="0.2">
      <c r="A10" s="105" t="s">
        <v>385</v>
      </c>
      <c r="B10" t="str">
        <f>'1 - Instructions'!D15</f>
        <v>unknown</v>
      </c>
    </row>
    <row r="11" spans="1:2" x14ac:dyDescent="0.2">
      <c r="A11" s="105" t="s">
        <v>386</v>
      </c>
      <c r="B11" t="str">
        <f>IF('2 - Internal Review'!F12=0,"unanswered",IF('2 - Internal Review'!$F$12=1,TRUE,FALSE))</f>
        <v>unanswered</v>
      </c>
    </row>
    <row r="12" spans="1:2" x14ac:dyDescent="0.2">
      <c r="A12" s="105" t="s">
        <v>387</v>
      </c>
      <c r="B12">
        <f>'3 - Metadata'!E20</f>
        <v>0</v>
      </c>
    </row>
    <row r="13" spans="1:2" x14ac:dyDescent="0.2">
      <c r="A13" s="105" t="s">
        <v>388</v>
      </c>
      <c r="B13">
        <f>'3 - Metadata'!E26</f>
        <v>0</v>
      </c>
    </row>
    <row r="14" spans="1:2" x14ac:dyDescent="0.2">
      <c r="A14" s="105" t="s">
        <v>389</v>
      </c>
      <c r="B14">
        <f>'4 - Field Documentation'!B8</f>
        <v>0</v>
      </c>
    </row>
    <row r="15" spans="1:2" x14ac:dyDescent="0.2">
      <c r="A15" s="3" t="s">
        <v>407</v>
      </c>
    </row>
    <row r="16" spans="1:2" x14ac:dyDescent="0.2">
      <c r="A16" s="105" t="s">
        <v>390</v>
      </c>
      <c r="B16">
        <f>'5 - Automation Questionnaire'!C8</f>
        <v>0</v>
      </c>
    </row>
    <row r="17" spans="1:2" x14ac:dyDescent="0.2">
      <c r="A17" s="105" t="s">
        <v>391</v>
      </c>
      <c r="B17">
        <f>'5 - Automation Questionnaire'!C9</f>
        <v>0</v>
      </c>
    </row>
    <row r="18" spans="1:2" x14ac:dyDescent="0.2">
      <c r="A18" s="105" t="s">
        <v>392</v>
      </c>
      <c r="B18">
        <f>'5 - Automation Questionnaire'!C10</f>
        <v>0</v>
      </c>
    </row>
    <row r="19" spans="1:2" x14ac:dyDescent="0.2">
      <c r="A19" s="105" t="s">
        <v>393</v>
      </c>
      <c r="B19">
        <f>'5 - Automation Questionnaire'!C11</f>
        <v>0</v>
      </c>
    </row>
    <row r="20" spans="1:2" x14ac:dyDescent="0.2">
      <c r="A20" s="105" t="s">
        <v>394</v>
      </c>
      <c r="B20">
        <f>'5 - Automation Questionnaire'!C12</f>
        <v>0</v>
      </c>
    </row>
    <row r="21" spans="1:2" x14ac:dyDescent="0.2">
      <c r="A21" s="105" t="s">
        <v>395</v>
      </c>
      <c r="B21">
        <f>'5 - Automation Questionnaire'!C15</f>
        <v>0</v>
      </c>
    </row>
    <row r="22" spans="1:2" x14ac:dyDescent="0.2">
      <c r="A22" s="105" t="s">
        <v>396</v>
      </c>
      <c r="B22">
        <f>'5 - Automation Questionnaire'!C16</f>
        <v>0</v>
      </c>
    </row>
    <row r="23" spans="1:2" x14ac:dyDescent="0.2">
      <c r="A23" s="105" t="s">
        <v>397</v>
      </c>
      <c r="B23">
        <f>'5 - Automation Questionnaire'!C17</f>
        <v>0</v>
      </c>
    </row>
    <row r="24" spans="1:2" x14ac:dyDescent="0.2">
      <c r="A24" s="3" t="s">
        <v>408</v>
      </c>
    </row>
    <row r="25" spans="1:2" x14ac:dyDescent="0.2">
      <c r="A25" s="105" t="s">
        <v>403</v>
      </c>
      <c r="B25">
        <f>InternalCount/InternalEntry</f>
        <v>0</v>
      </c>
    </row>
    <row r="26" spans="1:2" x14ac:dyDescent="0.2">
      <c r="A26" s="105" t="s">
        <v>404</v>
      </c>
      <c r="B26">
        <f>MetadataCount/MetadataEntry</f>
        <v>0</v>
      </c>
    </row>
    <row r="27" spans="1:2" x14ac:dyDescent="0.2">
      <c r="A27" s="105" t="s">
        <v>405</v>
      </c>
      <c r="B27">
        <f>DictionaryCount/DictionaryEntry</f>
        <v>0</v>
      </c>
    </row>
    <row r="28" spans="1:2" x14ac:dyDescent="0.2">
      <c r="A28" s="105" t="s">
        <v>406</v>
      </c>
      <c r="B28">
        <f>AutomationCount/AutomationEntry</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14</vt:i4>
      </vt:variant>
    </vt:vector>
  </HeadingPairs>
  <TitlesOfParts>
    <vt:vector size="24" baseType="lpstr">
      <vt:lpstr>1 - Instructions</vt:lpstr>
      <vt:lpstr>2 - Internal Review</vt:lpstr>
      <vt:lpstr>3 - Metadata</vt:lpstr>
      <vt:lpstr>4 - Field Documentation</vt:lpstr>
      <vt:lpstr>5 - Automation Questionnaire</vt:lpstr>
      <vt:lpstr>6 - QA Checklist</vt:lpstr>
      <vt:lpstr>Reference</vt:lpstr>
      <vt:lpstr>Version</vt:lpstr>
      <vt:lpstr>Validations</vt:lpstr>
      <vt:lpstr>ConfigDoc</vt:lpstr>
      <vt:lpstr>Category</vt:lpstr>
      <vt:lpstr>DataProducts</vt:lpstr>
      <vt:lpstr>DataTypes</vt:lpstr>
      <vt:lpstr>Department</vt:lpstr>
      <vt:lpstr>Files</vt:lpstr>
      <vt:lpstr>Format</vt:lpstr>
      <vt:lpstr>FrequencyDataChange</vt:lpstr>
      <vt:lpstr>FrequencyPublishing</vt:lpstr>
      <vt:lpstr>GeographicUnit</vt:lpstr>
      <vt:lpstr>GeographyIncluded</vt:lpstr>
      <vt:lpstr>InternalFields</vt:lpstr>
      <vt:lpstr>No</vt:lpstr>
      <vt:lpstr>PublicAccess</vt:lpstr>
      <vt:lpstr>Yes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2014-11-11T01:33:36Z</dcterms:created>
  <dcterms:modified xsi:type="dcterms:W3CDTF">2015-06-24T01:35:12Z</dcterms:modified>
</cp:coreProperties>
</file>